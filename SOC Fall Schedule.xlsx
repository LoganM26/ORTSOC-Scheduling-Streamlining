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C" sheetId="1" state="visible" r:id="rId3"/>
    <sheet name="SecOps" sheetId="2" state="visible" r:id="rId4"/>
    <sheet name="Copy of Mentors" sheetId="3" state="hidden" r:id="rId5"/>
    <sheet name="Sch_Draft" sheetId="4" state="hidden" r:id="rId6"/>
    <sheet name="Summary" sheetId="5" state="hidden" r:id="rId7"/>
    <sheet name="Allen" sheetId="6" state="hidden" r:id="rId8"/>
    <sheet name="Mike" sheetId="7" state="hidden" r:id="rId9"/>
    <sheet name="Jonah" sheetId="8" state="hidden" r:id="rId10"/>
    <sheet name="Jarren" sheetId="9" state="hidden" r:id="rId11"/>
    <sheet name="Chance" sheetId="10" state="hidden" r:id="rId12"/>
    <sheet name="Jonathan Mach" sheetId="11" state="hidden" r:id="rId13"/>
    <sheet name="Zach" sheetId="12" state="hidden" r:id="rId14"/>
    <sheet name="Hayden" sheetId="13" state="hidden" r:id="rId15"/>
    <sheet name="Kyle" sheetId="14" state="hidden" r:id="rId16"/>
    <sheet name="Jonathan Mather" sheetId="15" state="hidden" r:id="rId17"/>
    <sheet name="Cameron" sheetId="16" state="hidden" r:id="rId18"/>
    <sheet name="Emmet" sheetId="17" state="hidden" r:id="rId19"/>
    <sheet name="Jackson" sheetId="18" state="hidden" r:id="rId20"/>
    <sheet name="Khai" sheetId="19" state="hidden" r:id="rId21"/>
    <sheet name="Mario Q" sheetId="20" state="hidden" r:id="rId22"/>
    <sheet name="Aaron" sheetId="21" state="hidden" r:id="rId23"/>
    <sheet name="Ian" sheetId="22" state="hidden" r:id="rId24"/>
    <sheet name="Charlie" sheetId="23" state="hidden" r:id="rId25"/>
    <sheet name="Mario S" sheetId="24" state="hidden" r:id="rId26"/>
    <sheet name="David" sheetId="25" state="hidden" r:id="rId27"/>
  </sheets>
  <definedNames>
    <definedName function="false" hidden="false" localSheetId="0" name="_xlnm.Print_Area" vbProcedure="false">GRC!$A$1:$Y$112</definedName>
    <definedName function="false" hidden="false" localSheetId="1" name="_xlnm.Print_Area" vbProcedure="false">SecOps!$A$1:$Y$111</definedName>
    <definedName function="false" hidden="false" localSheetId="1" name="_xlnm.Print_Titles" vbProcedure="false">SecOps!$A:$A,SecOps!$1:$1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<sst xmlns="http://schemas.openxmlformats.org/spreadsheetml/2006/main" count="4976" uniqueCount="224">
  <si>
    <t xml:space="preserve">7:00
- 
7:30</t>
  </si>
  <si>
    <t xml:space="preserve">7:30
- 
8:00</t>
  </si>
  <si>
    <t xml:space="preserve">8:00
- 
8:30</t>
  </si>
  <si>
    <t xml:space="preserve">8:30
- 
9:00</t>
  </si>
  <si>
    <t xml:space="preserve">9:00
- 
9:30</t>
  </si>
  <si>
    <t xml:space="preserve">9:30
- 
10:00</t>
  </si>
  <si>
    <t xml:space="preserve">10:00
- 
10:30</t>
  </si>
  <si>
    <t xml:space="preserve">10:30
- 
11:00</t>
  </si>
  <si>
    <t xml:space="preserve">11:00
- 
11:30</t>
  </si>
  <si>
    <t xml:space="preserve">11:30
- 
12:00</t>
  </si>
  <si>
    <t xml:space="preserve">12:00
- 
12:30</t>
  </si>
  <si>
    <t xml:space="preserve">12:30
- 
1:00</t>
  </si>
  <si>
    <t xml:space="preserve">1:00
- 
1:30</t>
  </si>
  <si>
    <t xml:space="preserve">1:30
- 
2:00</t>
  </si>
  <si>
    <t xml:space="preserve">2:00
- 
2:30</t>
  </si>
  <si>
    <t xml:space="preserve">2:30
- 
3:00</t>
  </si>
  <si>
    <t xml:space="preserve">3:00
- 
3:30</t>
  </si>
  <si>
    <t xml:space="preserve">3:30
- 
4:00</t>
  </si>
  <si>
    <t xml:space="preserve">4:00
- 
4:30</t>
  </si>
  <si>
    <t xml:space="preserve">4:30
- 
5:00</t>
  </si>
  <si>
    <t xml:space="preserve">5:00
- 
5:30</t>
  </si>
  <si>
    <t xml:space="preserve">5:30
- 
6:00</t>
  </si>
  <si>
    <t xml:space="preserve">6:00
- 
6:30</t>
  </si>
  <si>
    <t xml:space="preserve">6:30
- 
7:00</t>
  </si>
  <si>
    <t xml:space="preserve">Monday</t>
  </si>
  <si>
    <t xml:space="preserve">Jacob B</t>
  </si>
  <si>
    <t xml:space="preserve">Andrew</t>
  </si>
  <si>
    <t xml:space="preserve">Jamie</t>
  </si>
  <si>
    <t xml:space="preserve">Jamie (8:45)</t>
  </si>
  <si>
    <t xml:space="preserve">ORTSOC Project (428)</t>
  </si>
  <si>
    <t xml:space="preserve">Ethan H</t>
  </si>
  <si>
    <t xml:space="preserve">Alejandro</t>
  </si>
  <si>
    <t xml:space="preserve">Luc</t>
  </si>
  <si>
    <t xml:space="preserve">Shengwei</t>
  </si>
  <si>
    <t xml:space="preserve">Matthew M</t>
  </si>
  <si>
    <t xml:space="preserve">Ethan D</t>
  </si>
  <si>
    <t xml:space="preserve">Dongyoung</t>
  </si>
  <si>
    <t xml:space="preserve">Minca</t>
  </si>
  <si>
    <t xml:space="preserve">Max R</t>
  </si>
  <si>
    <t xml:space="preserve">Tycho</t>
  </si>
  <si>
    <t xml:space="preserve">Jackie</t>
  </si>
  <si>
    <t xml:space="preserve">Joshua</t>
  </si>
  <si>
    <t xml:space="preserve">Devin</t>
  </si>
  <si>
    <t xml:space="preserve">Zyan</t>
  </si>
  <si>
    <t xml:space="preserve">Tetiana</t>
  </si>
  <si>
    <t xml:space="preserve">Seojin</t>
  </si>
  <si>
    <t xml:space="preserve">Christopher</t>
  </si>
  <si>
    <t xml:space="preserve">Jaden</t>
  </si>
  <si>
    <t xml:space="preserve">Edith</t>
  </si>
  <si>
    <t xml:space="preserve">Nina</t>
  </si>
  <si>
    <t xml:space="preserve">Gabriel M</t>
  </si>
  <si>
    <t xml:space="preserve">Henry</t>
  </si>
  <si>
    <t xml:space="preserve">Lorelei</t>
  </si>
  <si>
    <t xml:space="preserve">Seth</t>
  </si>
  <si>
    <t xml:space="preserve">Richie</t>
  </si>
  <si>
    <t xml:space="preserve">Liam</t>
  </si>
  <si>
    <t xml:space="preserve">Brian</t>
  </si>
  <si>
    <t xml:space="preserve">Atticus</t>
  </si>
  <si>
    <t xml:space="preserve">Peter</t>
  </si>
  <si>
    <t xml:space="preserve">Zhengye</t>
  </si>
  <si>
    <t xml:space="preserve">Mayra</t>
  </si>
  <si>
    <t xml:space="preserve">Finlay</t>
  </si>
  <si>
    <t xml:space="preserve">Vi</t>
  </si>
  <si>
    <t xml:space="preserve">Max C</t>
  </si>
  <si>
    <t xml:space="preserve">Gavi</t>
  </si>
  <si>
    <t xml:space="preserve">Nikhil</t>
  </si>
  <si>
    <t xml:space="preserve">Tuesday</t>
  </si>
  <si>
    <t xml:space="preserve">Leo</t>
  </si>
  <si>
    <t xml:space="preserve">Troy B</t>
  </si>
  <si>
    <t xml:space="preserve">Arianna</t>
  </si>
  <si>
    <t xml:space="preserve">Sjoerd</t>
  </si>
  <si>
    <t xml:space="preserve">Jayson</t>
  </si>
  <si>
    <t xml:space="preserve">Silas</t>
  </si>
  <si>
    <t xml:space="preserve">Wednesday</t>
  </si>
  <si>
    <t xml:space="preserve">Jake</t>
  </si>
  <si>
    <t xml:space="preserve">Thursday</t>
  </si>
  <si>
    <t xml:space="preserve">Friday</t>
  </si>
  <si>
    <t xml:space="preserve">ORTSOC Practicum (424)</t>
  </si>
  <si>
    <t xml:space="preserve">ORTSOC Practicum (524)</t>
  </si>
  <si>
    <t xml:space="preserve">Byron</t>
  </si>
  <si>
    <t xml:space="preserve">Network Security Monitoring</t>
  </si>
  <si>
    <t xml:space="preserve">Assessment</t>
  </si>
  <si>
    <t xml:space="preserve">Threat Intelligence</t>
  </si>
  <si>
    <t xml:space="preserve">Security Engineering</t>
  </si>
  <si>
    <t xml:space="preserve">Threat Hunting</t>
  </si>
  <si>
    <t xml:space="preserve">Penetration Testing</t>
  </si>
  <si>
    <t xml:space="preserve">Onboarding</t>
  </si>
  <si>
    <t xml:space="preserve">Student</t>
  </si>
  <si>
    <t xml:space="preserve">Rotation</t>
  </si>
  <si>
    <t xml:space="preserve">A</t>
  </si>
  <si>
    <t xml:space="preserve">TI</t>
  </si>
  <si>
    <t xml:space="preserve">PT</t>
  </si>
  <si>
    <t xml:space="preserve">Omkar</t>
  </si>
  <si>
    <t xml:space="preserve">Gabriel N</t>
  </si>
  <si>
    <t xml:space="preserve">Luke</t>
  </si>
  <si>
    <t xml:space="preserve">Jinhui</t>
  </si>
  <si>
    <t xml:space="preserve">Reif</t>
  </si>
  <si>
    <t xml:space="preserve">Troy L</t>
  </si>
  <si>
    <t xml:space="preserve">Mason</t>
  </si>
  <si>
    <t xml:space="preserve">Ryan</t>
  </si>
  <si>
    <t xml:space="preserve">Kyla</t>
  </si>
  <si>
    <t xml:space="preserve">Kyla (1:15)</t>
  </si>
  <si>
    <t xml:space="preserve">Palmer</t>
  </si>
  <si>
    <t xml:space="preserve">Alexander</t>
  </si>
  <si>
    <t xml:space="preserve">Garrett</t>
  </si>
  <si>
    <t xml:space="preserve">Chu-Xuan</t>
  </si>
  <si>
    <t xml:space="preserve">Luca</t>
  </si>
  <si>
    <t xml:space="preserve">Matthew C</t>
  </si>
  <si>
    <t xml:space="preserve">Aiden M</t>
  </si>
  <si>
    <t xml:space="preserve">Gabriel V</t>
  </si>
  <si>
    <t xml:space="preserve">Bon</t>
  </si>
  <si>
    <t xml:space="preserve">Benjamin L</t>
  </si>
  <si>
    <t xml:space="preserve">Nico</t>
  </si>
  <si>
    <t xml:space="preserve">Angela</t>
  </si>
  <si>
    <t xml:space="preserve">Carter</t>
  </si>
  <si>
    <t xml:space="preserve">Samuel</t>
  </si>
  <si>
    <t xml:space="preserve">Alexa</t>
  </si>
  <si>
    <t xml:space="preserve">Christian</t>
  </si>
  <si>
    <t xml:space="preserve">Melina</t>
  </si>
  <si>
    <t xml:space="preserve">Aiden R</t>
  </si>
  <si>
    <t xml:space="preserve">Jordan</t>
  </si>
  <si>
    <t xml:space="preserve">Jacob P</t>
  </si>
  <si>
    <t xml:space="preserve">Ross</t>
  </si>
  <si>
    <t xml:space="preserve">Reynaud</t>
  </si>
  <si>
    <t xml:space="preserve">Theodore</t>
  </si>
  <si>
    <t xml:space="preserve">Luke B</t>
  </si>
  <si>
    <t xml:space="preserve">Jawad</t>
  </si>
  <si>
    <t xml:space="preserve">Max T</t>
  </si>
  <si>
    <t xml:space="preserve">Benjamin B</t>
  </si>
  <si>
    <t xml:space="preserve">Mia</t>
  </si>
  <si>
    <t xml:space="preserve">Aden</t>
  </si>
  <si>
    <t xml:space="preserve">Malik</t>
  </si>
  <si>
    <t xml:space="preserve">Caleb</t>
  </si>
  <si>
    <t xml:space="preserve">Logan</t>
  </si>
  <si>
    <t xml:space="preserve">Skye</t>
  </si>
  <si>
    <t xml:space="preserve">Tate</t>
  </si>
  <si>
    <t xml:space="preserve">Tyler</t>
  </si>
  <si>
    <t xml:space="preserve">Anais</t>
  </si>
  <si>
    <t xml:space="preserve">SE</t>
  </si>
  <si>
    <t xml:space="preserve">NSM</t>
  </si>
  <si>
    <t xml:space="preserve">Brandon</t>
  </si>
  <si>
    <t xml:space="preserve">Rebecca</t>
  </si>
  <si>
    <t xml:space="preserve">Radhika</t>
  </si>
  <si>
    <t xml:space="preserve">Avani</t>
  </si>
  <si>
    <t xml:space="preserve">Dave</t>
  </si>
  <si>
    <t xml:space="preserve">Michelle</t>
  </si>
  <si>
    <t xml:space="preserve">x</t>
  </si>
  <si>
    <t xml:space="preserve">Pref</t>
  </si>
  <si>
    <t xml:space="preserve">Hayden</t>
  </si>
  <si>
    <t xml:space="preserve">Mike</t>
  </si>
  <si>
    <t xml:space="preserve">Chance</t>
  </si>
  <si>
    <t xml:space="preserve">Zach</t>
  </si>
  <si>
    <t xml:space="preserve">Charlie</t>
  </si>
  <si>
    <t xml:space="preserve">Khai</t>
  </si>
  <si>
    <t xml:space="preserve">Emmet</t>
  </si>
  <si>
    <t xml:space="preserve">Aaron</t>
  </si>
  <si>
    <t xml:space="preserve">Jarren</t>
  </si>
  <si>
    <t xml:space="preserve">Mario S</t>
  </si>
  <si>
    <t xml:space="preserve">Cameron</t>
  </si>
  <si>
    <t xml:space="preserve">Allen</t>
  </si>
  <si>
    <t xml:space="preserve">Jonathan Mach</t>
  </si>
  <si>
    <t xml:space="preserve">Jackson</t>
  </si>
  <si>
    <t xml:space="preserve">Kyle</t>
  </si>
  <si>
    <t xml:space="preserve">Ian</t>
  </si>
  <si>
    <t xml:space="preserve">Jonathan Mather</t>
  </si>
  <si>
    <t xml:space="preserve">Mario Q</t>
  </si>
  <si>
    <t xml:space="preserve">David</t>
  </si>
  <si>
    <t xml:space="preserve">Yes</t>
  </si>
  <si>
    <t xml:space="preserve">Jonah</t>
  </si>
  <si>
    <t xml:space="preserve">Count</t>
  </si>
  <si>
    <t xml:space="preserve">Preferred</t>
  </si>
  <si>
    <t xml:space="preserve">Blank schedule</t>
  </si>
  <si>
    <t xml:space="preserve">No preferred</t>
  </si>
  <si>
    <t xml:space="preserve">No</t>
  </si>
  <si>
    <t xml:space="preserve">Need Coverage</t>
  </si>
  <si>
    <t xml:space="preserve">Allen Benjamin</t>
  </si>
  <si>
    <t xml:space="preserve">Instructions</t>
  </si>
  <si>
    <t xml:space="preserve">1. Enter your name in cell A1</t>
  </si>
  <si>
    <t xml:space="preserve">2. Using the legend as reference, fill in the grid above with your preferred &amp; available hours</t>
  </si>
  <si>
    <t xml:space="preserve">a. For reference, you need to spend 8 hours a week in the SOC. </t>
  </si>
  <si>
    <t xml:space="preserve">b. Empty cells will be interpreted as unavailable times.</t>
  </si>
  <si>
    <t xml:space="preserve">Legend</t>
  </si>
  <si>
    <t xml:space="preserve">Running Calc</t>
  </si>
  <si>
    <t xml:space="preserve">Key</t>
  </si>
  <si>
    <t xml:space="preserve">Description</t>
  </si>
  <si>
    <t xml:space="preserve">Hours</t>
  </si>
  <si>
    <t xml:space="preserve">This is a time you would prefer to work.</t>
  </si>
  <si>
    <t xml:space="preserve">This is a time you can work.</t>
  </si>
  <si>
    <t xml:space="preserve">Available</t>
  </si>
  <si>
    <t xml:space="preserve">You are not available at this time.</t>
  </si>
  <si>
    <t xml:space="preserve">Total</t>
  </si>
  <si>
    <t xml:space="preserve">Mike Carris</t>
  </si>
  <si>
    <t xml:space="preserve">Person McPersonFace</t>
  </si>
  <si>
    <t xml:space="preserve">12:30
- 
13:00</t>
  </si>
  <si>
    <t xml:space="preserve">13:00
- 
13:30</t>
  </si>
  <si>
    <t xml:space="preserve">13:30
- 
14:00</t>
  </si>
  <si>
    <t xml:space="preserve">14:00
- 
14:30</t>
  </si>
  <si>
    <t xml:space="preserve">14:30
- 
15:00</t>
  </si>
  <si>
    <t xml:space="preserve">15:00
- 
15:30</t>
  </si>
  <si>
    <t xml:space="preserve">15:30
- 
16:00</t>
  </si>
  <si>
    <t xml:space="preserve">16:00
- 
16:30</t>
  </si>
  <si>
    <t xml:space="preserve">16:30
- 
17:00</t>
  </si>
  <si>
    <t xml:space="preserve">17:00
- 
17:30</t>
  </si>
  <si>
    <t xml:space="preserve">17:30
- 
18:00</t>
  </si>
  <si>
    <t xml:space="preserve">18:00
- 
18:30</t>
  </si>
  <si>
    <t xml:space="preserve">18:30
- 
19:00</t>
  </si>
  <si>
    <t xml:space="preserve">Saturday</t>
  </si>
  <si>
    <t xml:space="preserve">N/A</t>
  </si>
  <si>
    <t xml:space="preserve">a. For reference, you need to spend 9 hours a week in the ORTSOC. </t>
  </si>
  <si>
    <t xml:space="preserve">{ENTER NAME HERE}</t>
  </si>
  <si>
    <t xml:space="preserve">Chance Giguiere</t>
  </si>
  <si>
    <t xml:space="preserve">Zachary Gorman</t>
  </si>
  <si>
    <t xml:space="preserve">Hayden Johnson</t>
  </si>
  <si>
    <t xml:space="preserve">Cameron McCawley</t>
  </si>
  <si>
    <t xml:space="preserve">Jackson Perry</t>
  </si>
  <si>
    <t xml:space="preserve">yes</t>
  </si>
  <si>
    <t xml:space="preserve">pref</t>
  </si>
  <si>
    <t xml:space="preserve">Khai Phan</t>
  </si>
  <si>
    <t xml:space="preserve">- </t>
  </si>
  <si>
    <t xml:space="preserve">a. For reference, you need to spend 8 hours a week in the SOC. </t>
  </si>
  <si>
    <t xml:space="preserve">Ian Rolph</t>
  </si>
  <si>
    <t xml:space="preserve">Mario Schmutz</t>
  </si>
  <si>
    <t xml:space="preserve">David Korotky</t>
  </si>
  <si>
    <t xml:space="preserve">Spring 2023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</si>
</sst>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@"/>
  </numFmts>
  <fonts count="28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6"/>
      <name val="Calibri"/>
      <family val="2"/>
      <charset val="1"/>
    </font>
    <font>
      <sz val="12"/>
      <name val="Calibri"/>
      <family val="2"/>
      <charset val="1"/>
    </font>
    <font>
      <sz val="10"/>
      <color theme="1"/>
      <name val="Calibri"/>
      <family val="2"/>
      <charset val="1"/>
    </font>
    <font>
      <sz val="12"/>
      <color rgb="FF000000"/>
      <name val="&quot;Aptos Narrow&quot;"/>
      <family val="0"/>
      <charset val="1"/>
    </font>
    <font>
      <sz val="12"/>
      <color theme="1"/>
      <name val="Arial"/>
      <family val="2"/>
      <charset val="1"/>
    </font>
    <font>
      <sz val="12"/>
      <color rgb="FFFFFFFF"/>
      <name val="Arial"/>
      <family val="2"/>
      <charset val="1"/>
    </font>
    <font>
      <sz val="12"/>
      <color theme="0"/>
      <name val="Arial"/>
      <family val="2"/>
      <charset val="1"/>
    </font>
    <font>
      <sz val="12"/>
      <color rgb="FF1155CC"/>
      <name val="Inconsolata"/>
      <family val="0"/>
      <charset val="1"/>
    </font>
    <font>
      <sz val="16"/>
      <color theme="0"/>
      <name val="Calibri"/>
      <family val="2"/>
      <charset val="1"/>
    </font>
    <font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6"/>
      <color rgb="FF006100"/>
      <name val="Calibri"/>
      <family val="2"/>
      <charset val="1"/>
    </font>
    <font>
      <sz val="16"/>
      <color rgb="FF9C5700"/>
      <name val="Calibri"/>
      <family val="2"/>
      <charset val="1"/>
    </font>
    <font>
      <b val="true"/>
      <sz val="20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theme="1"/>
      <name val="Helvetica Neue"/>
      <family val="2"/>
      <charset val="1"/>
    </font>
    <font>
      <sz val="11"/>
      <color rgb="FF9C0006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theme="1"/>
        <bgColor rgb="FF003300"/>
      </patternFill>
    </fill>
    <fill>
      <patternFill patternType="solid">
        <fgColor theme="5"/>
        <bgColor rgb="FFFF9900"/>
      </patternFill>
    </fill>
    <fill>
      <patternFill patternType="solid">
        <fgColor rgb="FF9CC2E5"/>
        <bgColor rgb="FFC8C8C8"/>
      </patternFill>
    </fill>
    <fill>
      <patternFill patternType="solid">
        <fgColor rgb="FFA8D08D"/>
        <bgColor rgb="FF92D050"/>
      </patternFill>
    </fill>
    <fill>
      <patternFill patternType="solid">
        <fgColor rgb="FFC8C8C8"/>
        <bgColor rgb="FFF4C7C3"/>
      </patternFill>
    </fill>
    <fill>
      <patternFill patternType="solid">
        <fgColor rgb="FFAD8FC4"/>
        <bgColor rgb="FFA5A5A5"/>
      </patternFill>
    </fill>
    <fill>
      <patternFill patternType="solid">
        <fgColor rgb="FFFFC000"/>
        <bgColor rgb="FFFF9900"/>
      </patternFill>
    </fill>
    <fill>
      <patternFill patternType="solid">
        <fgColor rgb="FFC27BA0"/>
        <bgColor rgb="FFAD8FC4"/>
      </patternFill>
    </fill>
    <fill>
      <patternFill patternType="solid">
        <fgColor rgb="FF00B050"/>
        <bgColor rgb="FF008080"/>
      </patternFill>
    </fill>
    <fill>
      <patternFill patternType="solid">
        <fgColor theme="8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9C0006"/>
      </patternFill>
    </fill>
    <fill>
      <patternFill patternType="solid">
        <fgColor rgb="FF92D050"/>
        <bgColor rgb="FFA8D08D"/>
      </patternFill>
    </fill>
    <fill>
      <patternFill patternType="solid">
        <fgColor rgb="FF00B0F0"/>
        <bgColor rgb="FF33CCCC"/>
      </patternFill>
    </fill>
    <fill>
      <patternFill patternType="solid">
        <fgColor rgb="FF0070C0"/>
        <bgColor rgb="FF1155CC"/>
      </patternFill>
    </fill>
    <fill>
      <patternFill patternType="solid">
        <fgColor rgb="FF002060"/>
        <bgColor rgb="FF000080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FFC7CE"/>
        <bgColor rgb="FFF4C7C3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ck"/>
      <right/>
      <top style="hair"/>
      <bottom style="hair"/>
      <diagonal/>
    </border>
    <border diagonalUp="false" diagonalDown="false">
      <left style="thick"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ck"/>
      <right/>
      <top style="hair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/>
      <diagonal/>
    </border>
    <border diagonalUp="false" diagonalDown="false">
      <left style="thin">
        <color rgb="FFFF0000"/>
      </left>
      <right style="thin"/>
      <top style="thin">
        <color rgb="FFFF0000"/>
      </top>
      <bottom style="thin"/>
      <diagonal/>
    </border>
    <border diagonalUp="false" diagonalDown="false">
      <left style="thin">
        <color rgb="FFFF0000"/>
      </left>
      <right style="thin">
        <color rgb="FFFF0000"/>
      </right>
      <top style="thin"/>
      <bottom style="thin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 style="thin"/>
      <bottom style="medium"/>
      <diagonal/>
    </border>
    <border diagonalUp="false" diagonalDown="false">
      <left style="thin">
        <color rgb="FFFF0000"/>
      </left>
      <right style="medium"/>
      <top style="thin">
        <color rgb="FFFF0000"/>
      </top>
      <bottom style="thin">
        <color rgb="FFFF0000"/>
      </bottom>
      <diagonal/>
    </border>
    <border diagonalUp="false" diagonalDown="false">
      <left style="medium"/>
      <right style="medium"/>
      <top style="medium"/>
      <bottom style="thin">
        <color rgb="FFFF0000"/>
      </bottom>
      <diagonal/>
    </border>
    <border diagonalUp="false" diagonalDown="false">
      <left style="medium"/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medium"/>
      <right style="medium"/>
      <top style="thin">
        <color rgb="FFFF0000"/>
      </top>
      <bottom style="thin">
        <color rgb="FFFF0000"/>
      </bottom>
      <diagonal/>
    </border>
    <border diagonalUp="false" diagonalDown="false">
      <left style="medium"/>
      <right style="thin">
        <color rgb="FFFF0000"/>
      </right>
      <top style="thin">
        <color rgb="FFFF0000"/>
      </top>
      <bottom style="medium"/>
      <diagonal/>
    </border>
    <border diagonalUp="false" diagonalDown="false">
      <left style="thin">
        <color rgb="FFFF0000"/>
      </left>
      <right style="medium"/>
      <top style="thin">
        <color rgb="FFFF0000"/>
      </top>
      <bottom style="medium"/>
      <diagonal/>
    </border>
    <border diagonalUp="false" diagonalDown="false">
      <left style="thin">
        <color rgb="FFFF0000"/>
      </left>
      <right style="thin">
        <color rgb="FFFF0000"/>
      </right>
      <top style="medium"/>
      <bottom style="medium"/>
      <diagonal/>
    </border>
    <border diagonalUp="false" diagonalDown="false">
      <left style="thin">
        <color rgb="FFFF0000"/>
      </left>
      <right style="thin">
        <color rgb="FFFF0000"/>
      </right>
      <top style="medium"/>
      <bottom style="thin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7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2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2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23" fillId="2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23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3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2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2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2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23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2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23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2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ont>
        <color rgb="FF9C0006"/>
      </font>
      <fill>
        <patternFill>
          <bgColor rgb="FFFFC7CE"/>
        </patternFill>
      </fill>
    </dxf>
    <dxf>
      <font>
        <color rgb="FFFFC000"/>
      </font>
      <fill>
        <patternFill>
          <bgColor theme="7" tint="0.7999"/>
        </patternFill>
      </fill>
    </dxf>
    <dxf>
      <fill>
        <patternFill>
          <bgColor rgb="FFF4C7C3"/>
        </patternFill>
      </fill>
    </dxf>
    <dxf>
      <fill>
        <patternFill>
          <bgColor rgb="FFED7D31"/>
        </patternFill>
      </fill>
    </dxf>
    <dxf>
      <fill>
        <patternFill>
          <bgColor rgb="FF9CC2E5"/>
        </patternFill>
      </fill>
    </dxf>
    <dxf>
      <font>
        <color rgb="FF000000"/>
      </font>
      <fill>
        <patternFill>
          <bgColor rgb="FFA8D08D"/>
        </patternFill>
      </fill>
    </dxf>
    <dxf>
      <font>
        <color rgb="FF000000"/>
      </font>
      <fill>
        <patternFill>
          <bgColor rgb="FFC8C8C8"/>
        </patternFill>
      </fill>
    </dxf>
    <dxf>
      <fill>
        <patternFill>
          <bgColor rgb="FFAD8FC4"/>
        </patternFill>
      </fill>
    </dxf>
    <dxf>
      <fill>
        <patternFill>
          <bgColor rgb="FFFFC000"/>
        </patternFill>
      </fill>
    </dxf>
    <dxf>
      <fill>
        <patternFill>
          <bgColor rgb="FFC27B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4C7C3"/>
        </patternFill>
      </fill>
    </dxf>
    <dxf>
      <fill>
        <patternFill>
          <bgColor rgb="FFED7D31"/>
        </patternFill>
      </fill>
    </dxf>
    <dxf>
      <fill>
        <patternFill>
          <bgColor rgb="FF9CC2E5"/>
        </patternFill>
      </fill>
    </dxf>
    <dxf>
      <font>
        <color rgb="FF000000"/>
      </font>
      <fill>
        <patternFill>
          <bgColor rgb="FFA8D08D"/>
        </patternFill>
      </fill>
    </dxf>
    <dxf>
      <font>
        <color rgb="FF000000"/>
      </font>
      <fill>
        <patternFill>
          <bgColor rgb="FFC8C8C8"/>
        </patternFill>
      </fill>
    </dxf>
    <dxf>
      <fill>
        <patternFill>
          <bgColor rgb="FFAD8FC4"/>
        </patternFill>
      </fill>
    </dxf>
    <dxf>
      <fill>
        <patternFill>
          <bgColor rgb="FFFFC000"/>
        </patternFill>
      </fill>
    </dxf>
    <dxf>
      <fill>
        <patternFill>
          <bgColor rgb="FFC27B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8C8C8"/>
      <rgbColor rgb="FF5B9BD5"/>
      <rgbColor rgb="FFAD8FC4"/>
      <rgbColor rgb="FF7030A0"/>
      <rgbColor rgb="FFFFF2CC"/>
      <rgbColor rgb="FFE7E6E6"/>
      <rgbColor rgb="FF660066"/>
      <rgbColor rgb="FFC27BA0"/>
      <rgbColor rgb="FF0070C0"/>
      <rgbColor rgb="FFFFC7C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A8D08D"/>
      <rgbColor rgb="FFC6EFCE"/>
      <rgbColor rgb="FFFFEB9C"/>
      <rgbColor rgb="FF9CC2E5"/>
      <rgbColor rgb="FFFF99CC"/>
      <rgbColor rgb="FFCC99FF"/>
      <rgbColor rgb="FFF4C7C3"/>
      <rgbColor rgb="FF1155CC"/>
      <rgbColor rgb="FF33CCCC"/>
      <rgbColor rgb="FF92D050"/>
      <rgbColor rgb="FFFFC000"/>
      <rgbColor rgb="FFFF9900"/>
      <rgbColor rgb="FFED7D31"/>
      <rgbColor rgb="FF666699"/>
      <rgbColor rgb="FFA5A5A5"/>
      <rgbColor rgb="FF002060"/>
      <rgbColor rgb="FF00B050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R36" activePane="bottomRight" state="frozen"/>
      <selection pane="topLeft" activeCell="A1" activeCellId="0" sqref="A1"/>
      <selection pane="topRight" activeCell="R1" activeCellId="0" sqref="R1"/>
      <selection pane="bottomLeft" activeCell="A36" activeCellId="0" sqref="A36"/>
      <selection pane="bottomRight" activeCell="D120" activeCellId="0" sqref="D120"/>
    </sheetView>
  </sheetViews>
  <sheetFormatPr defaultColWidth="11.1640625" defaultRowHeight="15" customHeight="true" zeroHeight="false" outlineLevelRow="1" outlineLevelCol="0"/>
  <cols>
    <col collapsed="false" customWidth="true" hidden="false" outlineLevel="0" max="25" min="1" style="0" width="12.33"/>
  </cols>
  <sheetData>
    <row r="1" customFormat="false" ht="64.5" hidden="false" customHeight="true" outlineLevel="0" collapsed="false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customFormat="false" ht="17.9" hidden="false" customHeight="false" outlineLevel="0" collapsed="false">
      <c r="A2" s="5" t="s">
        <v>24</v>
      </c>
      <c r="B2" s="6" t="s">
        <v>25</v>
      </c>
      <c r="C2" s="6" t="s">
        <v>25</v>
      </c>
      <c r="D2" s="6" t="s">
        <v>25</v>
      </c>
      <c r="E2" s="6"/>
      <c r="F2" s="7"/>
      <c r="G2" s="7"/>
      <c r="H2" s="6" t="s">
        <v>26</v>
      </c>
      <c r="I2" s="6" t="s">
        <v>26</v>
      </c>
      <c r="J2" s="6" t="s">
        <v>26</v>
      </c>
      <c r="K2" s="6" t="s">
        <v>26</v>
      </c>
      <c r="L2" s="6" t="s">
        <v>26</v>
      </c>
      <c r="M2" s="6" t="s">
        <v>26</v>
      </c>
      <c r="N2" s="6" t="s">
        <v>26</v>
      </c>
      <c r="O2" s="6" t="s">
        <v>26</v>
      </c>
      <c r="P2" s="6" t="s">
        <v>26</v>
      </c>
      <c r="Q2" s="6" t="s">
        <v>26</v>
      </c>
      <c r="R2" s="6" t="s">
        <v>26</v>
      </c>
      <c r="S2" s="6"/>
      <c r="T2" s="6"/>
      <c r="U2" s="6"/>
      <c r="V2" s="6"/>
      <c r="W2" s="6"/>
      <c r="X2" s="6"/>
      <c r="Y2" s="6"/>
    </row>
    <row r="3" customFormat="false" ht="15.75" hidden="false" customHeight="true" outlineLevel="0" collapsed="false">
      <c r="A3" s="5"/>
      <c r="B3" s="6" t="s">
        <v>27</v>
      </c>
      <c r="C3" s="6" t="s">
        <v>27</v>
      </c>
      <c r="D3" s="6" t="s">
        <v>27</v>
      </c>
      <c r="E3" s="6" t="s">
        <v>28</v>
      </c>
      <c r="F3" s="8" t="s">
        <v>29</v>
      </c>
      <c r="G3" s="7"/>
      <c r="H3" s="6" t="s">
        <v>30</v>
      </c>
      <c r="I3" s="6" t="s">
        <v>30</v>
      </c>
      <c r="J3" s="6" t="s">
        <v>30</v>
      </c>
      <c r="K3" s="6" t="s">
        <v>30</v>
      </c>
      <c r="L3" s="6" t="s">
        <v>30</v>
      </c>
      <c r="M3" s="6" t="s">
        <v>30</v>
      </c>
      <c r="N3" s="6"/>
      <c r="O3" s="6"/>
      <c r="P3" s="6" t="s">
        <v>31</v>
      </c>
      <c r="Q3" s="6" t="s">
        <v>31</v>
      </c>
      <c r="R3" s="6" t="s">
        <v>31</v>
      </c>
      <c r="S3" s="6" t="s">
        <v>31</v>
      </c>
      <c r="T3" s="6" t="s">
        <v>31</v>
      </c>
      <c r="U3" s="6" t="s">
        <v>31</v>
      </c>
      <c r="V3" s="6" t="s">
        <v>31</v>
      </c>
      <c r="W3" s="6" t="s">
        <v>31</v>
      </c>
      <c r="X3" s="6"/>
      <c r="Y3" s="6"/>
    </row>
    <row r="4" customFormat="false" ht="15.75" hidden="false" customHeight="true" outlineLevel="0" collapsed="false">
      <c r="A4" s="5"/>
      <c r="B4" s="6"/>
      <c r="C4" s="6"/>
      <c r="D4" s="6"/>
      <c r="E4" s="6"/>
      <c r="F4" s="7"/>
      <c r="G4" s="7"/>
      <c r="H4" s="6"/>
      <c r="I4" s="6"/>
      <c r="J4" s="6" t="s">
        <v>32</v>
      </c>
      <c r="K4" s="6" t="s">
        <v>32</v>
      </c>
      <c r="L4" s="6" t="s">
        <v>32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33</v>
      </c>
      <c r="S4" s="6" t="s">
        <v>33</v>
      </c>
      <c r="T4" s="6" t="s">
        <v>33</v>
      </c>
      <c r="U4" s="6" t="s">
        <v>33</v>
      </c>
      <c r="V4" s="6"/>
      <c r="W4" s="6"/>
      <c r="X4" s="6"/>
      <c r="Y4" s="6"/>
    </row>
    <row r="5" customFormat="false" ht="15.75" hidden="false" customHeight="true" outlineLevel="0" collapsed="false">
      <c r="A5" s="5"/>
      <c r="B5" s="6" t="s">
        <v>34</v>
      </c>
      <c r="C5" s="6" t="s">
        <v>34</v>
      </c>
      <c r="D5" s="6" t="s">
        <v>34</v>
      </c>
      <c r="E5" s="6"/>
      <c r="F5" s="7"/>
      <c r="G5" s="7"/>
      <c r="H5" s="6" t="s">
        <v>35</v>
      </c>
      <c r="I5" s="6" t="s">
        <v>35</v>
      </c>
      <c r="J5" s="6" t="s">
        <v>35</v>
      </c>
      <c r="K5" s="6" t="s">
        <v>35</v>
      </c>
      <c r="L5" s="6" t="s">
        <v>36</v>
      </c>
      <c r="M5" s="6" t="s">
        <v>36</v>
      </c>
      <c r="N5" s="6" t="s">
        <v>36</v>
      </c>
      <c r="O5" s="6" t="s">
        <v>36</v>
      </c>
      <c r="P5" s="6" t="s">
        <v>36</v>
      </c>
      <c r="Q5" s="6" t="s">
        <v>36</v>
      </c>
      <c r="R5" s="6" t="s">
        <v>37</v>
      </c>
      <c r="S5" s="6" t="s">
        <v>37</v>
      </c>
      <c r="T5" s="6" t="s">
        <v>37</v>
      </c>
      <c r="U5" s="6" t="s">
        <v>37</v>
      </c>
      <c r="V5" s="6" t="s">
        <v>37</v>
      </c>
      <c r="W5" s="6" t="s">
        <v>37</v>
      </c>
      <c r="X5" s="6" t="s">
        <v>37</v>
      </c>
      <c r="Y5" s="6" t="s">
        <v>37</v>
      </c>
    </row>
    <row r="6" customFormat="false" ht="15.75" hidden="false" customHeight="true" outlineLevel="0" collapsed="false">
      <c r="A6" s="5"/>
      <c r="B6" s="6"/>
      <c r="C6" s="6"/>
      <c r="D6" s="6"/>
      <c r="E6" s="6"/>
      <c r="F6" s="7"/>
      <c r="G6" s="7"/>
      <c r="H6" s="6" t="s">
        <v>38</v>
      </c>
      <c r="I6" s="6" t="s">
        <v>38</v>
      </c>
      <c r="J6" s="6" t="s">
        <v>38</v>
      </c>
      <c r="K6" s="6" t="s">
        <v>38</v>
      </c>
      <c r="L6" s="6" t="s">
        <v>39</v>
      </c>
      <c r="M6" s="6" t="s">
        <v>39</v>
      </c>
      <c r="N6" s="6" t="s">
        <v>39</v>
      </c>
      <c r="O6" s="6" t="s">
        <v>39</v>
      </c>
      <c r="P6" s="6" t="s">
        <v>39</v>
      </c>
      <c r="Q6" s="6" t="s">
        <v>39</v>
      </c>
      <c r="R6" s="6" t="s">
        <v>39</v>
      </c>
      <c r="S6" s="6" t="s">
        <v>39</v>
      </c>
      <c r="T6" s="6" t="s">
        <v>39</v>
      </c>
      <c r="U6" s="6" t="s">
        <v>39</v>
      </c>
      <c r="V6" s="6" t="s">
        <v>39</v>
      </c>
      <c r="W6" s="6" t="s">
        <v>39</v>
      </c>
      <c r="X6" s="6" t="s">
        <v>39</v>
      </c>
      <c r="Y6" s="6" t="s">
        <v>39</v>
      </c>
    </row>
    <row r="7" customFormat="false" ht="15.75" hidden="false" customHeight="true" outlineLevel="0" collapsed="false">
      <c r="A7" s="5"/>
      <c r="B7" s="6"/>
      <c r="C7" s="6"/>
      <c r="D7" s="6"/>
      <c r="E7" s="6"/>
      <c r="F7" s="7"/>
      <c r="G7" s="7"/>
      <c r="H7" s="6" t="s">
        <v>40</v>
      </c>
      <c r="I7" s="6" t="s">
        <v>40</v>
      </c>
      <c r="J7" s="6" t="s">
        <v>40</v>
      </c>
      <c r="K7" s="6" t="s">
        <v>40</v>
      </c>
      <c r="L7" s="6" t="s">
        <v>40</v>
      </c>
      <c r="M7" s="6" t="s">
        <v>40</v>
      </c>
      <c r="N7" s="6" t="s">
        <v>40</v>
      </c>
      <c r="O7" s="6" t="s">
        <v>40</v>
      </c>
      <c r="P7" s="6" t="s">
        <v>41</v>
      </c>
      <c r="Q7" s="6" t="s">
        <v>41</v>
      </c>
      <c r="R7" s="6" t="s">
        <v>41</v>
      </c>
      <c r="S7" s="6" t="s">
        <v>41</v>
      </c>
      <c r="T7" s="6" t="s">
        <v>41</v>
      </c>
      <c r="U7" s="6" t="s">
        <v>41</v>
      </c>
      <c r="V7" s="6"/>
      <c r="W7" s="6"/>
      <c r="X7" s="6"/>
      <c r="Y7" s="6"/>
    </row>
    <row r="8" customFormat="false" ht="15.75" hidden="false" customHeight="true" outlineLevel="0" collapsed="false">
      <c r="A8" s="5"/>
      <c r="B8" s="6" t="s">
        <v>42</v>
      </c>
      <c r="C8" s="6" t="s">
        <v>42</v>
      </c>
      <c r="D8" s="6" t="s">
        <v>42</v>
      </c>
      <c r="E8" s="6"/>
      <c r="F8" s="7"/>
      <c r="G8" s="7"/>
      <c r="H8" s="6"/>
      <c r="I8" s="6" t="s">
        <v>42</v>
      </c>
      <c r="J8" s="6" t="s">
        <v>42</v>
      </c>
      <c r="K8" s="6" t="s">
        <v>42</v>
      </c>
      <c r="L8" s="6" t="s">
        <v>43</v>
      </c>
      <c r="M8" s="6" t="s">
        <v>43</v>
      </c>
      <c r="N8" s="6" t="s">
        <v>43</v>
      </c>
      <c r="O8" s="6" t="s">
        <v>43</v>
      </c>
      <c r="P8" s="6" t="s">
        <v>43</v>
      </c>
      <c r="Q8" s="6" t="s">
        <v>43</v>
      </c>
      <c r="R8" s="6" t="s">
        <v>43</v>
      </c>
      <c r="S8" s="6" t="s">
        <v>43</v>
      </c>
      <c r="T8" s="6" t="s">
        <v>44</v>
      </c>
      <c r="U8" s="6" t="s">
        <v>44</v>
      </c>
      <c r="V8" s="6" t="s">
        <v>44</v>
      </c>
      <c r="W8" s="6" t="s">
        <v>44</v>
      </c>
      <c r="X8" s="6" t="s">
        <v>44</v>
      </c>
      <c r="Y8" s="6" t="s">
        <v>44</v>
      </c>
    </row>
    <row r="9" customFormat="false" ht="17.9" hidden="false" customHeight="false" outlineLevel="0" collapsed="false">
      <c r="A9" s="5"/>
      <c r="B9" s="6"/>
      <c r="C9" s="6"/>
      <c r="D9" s="6"/>
      <c r="E9" s="6"/>
      <c r="F9" s="7"/>
      <c r="G9" s="7"/>
      <c r="H9" s="6" t="s">
        <v>45</v>
      </c>
      <c r="I9" s="6" t="s">
        <v>45</v>
      </c>
      <c r="J9" s="6" t="s">
        <v>45</v>
      </c>
      <c r="K9" s="6" t="s">
        <v>45</v>
      </c>
      <c r="L9" s="6" t="s">
        <v>45</v>
      </c>
      <c r="M9" s="6" t="s">
        <v>45</v>
      </c>
      <c r="N9" s="6"/>
      <c r="O9" s="6"/>
      <c r="P9" s="6" t="s">
        <v>46</v>
      </c>
      <c r="Q9" s="6" t="s">
        <v>46</v>
      </c>
      <c r="R9" s="6" t="s">
        <v>46</v>
      </c>
      <c r="S9" s="6" t="s">
        <v>46</v>
      </c>
      <c r="T9" s="6" t="s">
        <v>46</v>
      </c>
      <c r="U9" s="6" t="s">
        <v>46</v>
      </c>
      <c r="V9" s="6"/>
      <c r="W9" s="6"/>
      <c r="X9" s="6"/>
      <c r="Y9" s="6"/>
    </row>
    <row r="10" customFormat="false" ht="17.9" hidden="false" customHeight="false" outlineLevel="0" collapsed="false">
      <c r="A10" s="5"/>
      <c r="B10" s="6"/>
      <c r="C10" s="6"/>
      <c r="D10" s="6"/>
      <c r="E10" s="6"/>
      <c r="F10" s="7"/>
      <c r="G10" s="7"/>
      <c r="H10" s="6"/>
      <c r="I10" s="6"/>
      <c r="J10" s="6" t="s">
        <v>47</v>
      </c>
      <c r="K10" s="6" t="s">
        <v>47</v>
      </c>
      <c r="L10" s="6" t="s">
        <v>47</v>
      </c>
      <c r="M10" s="6" t="s">
        <v>47</v>
      </c>
      <c r="N10" s="6" t="s">
        <v>47</v>
      </c>
      <c r="O10" s="6" t="s">
        <v>47</v>
      </c>
      <c r="P10" s="6"/>
      <c r="Q10" s="6"/>
      <c r="R10" s="6"/>
      <c r="S10" s="6"/>
      <c r="T10" s="6"/>
      <c r="U10" s="6" t="s">
        <v>48</v>
      </c>
      <c r="V10" s="6" t="s">
        <v>48</v>
      </c>
      <c r="W10" s="6" t="s">
        <v>48</v>
      </c>
      <c r="X10" s="6" t="s">
        <v>48</v>
      </c>
      <c r="Y10" s="6" t="s">
        <v>48</v>
      </c>
    </row>
    <row r="11" customFormat="false" ht="17.9" hidden="false" customHeight="false" outlineLevel="0" collapsed="false">
      <c r="A11" s="5"/>
      <c r="B11" s="6"/>
      <c r="C11" s="6"/>
      <c r="D11" s="6"/>
      <c r="E11" s="6"/>
      <c r="F11" s="7"/>
      <c r="G11" s="7"/>
      <c r="H11" s="6" t="s">
        <v>49</v>
      </c>
      <c r="I11" s="6" t="s">
        <v>49</v>
      </c>
      <c r="J11" s="6" t="s">
        <v>49</v>
      </c>
      <c r="K11" s="6" t="s">
        <v>49</v>
      </c>
      <c r="L11" s="6" t="s">
        <v>49</v>
      </c>
      <c r="M11" s="6" t="s">
        <v>49</v>
      </c>
      <c r="N11" s="6" t="s">
        <v>49</v>
      </c>
      <c r="O11" s="6" t="s">
        <v>49</v>
      </c>
      <c r="P11" s="6" t="s">
        <v>50</v>
      </c>
      <c r="Q11" s="6" t="s">
        <v>50</v>
      </c>
      <c r="R11" s="6" t="s">
        <v>50</v>
      </c>
      <c r="S11" s="6" t="s">
        <v>50</v>
      </c>
      <c r="T11" s="6" t="s">
        <v>50</v>
      </c>
      <c r="U11" s="6" t="s">
        <v>50</v>
      </c>
      <c r="V11" s="6"/>
      <c r="W11" s="6"/>
      <c r="X11" s="6"/>
      <c r="Y11" s="6"/>
    </row>
    <row r="12" customFormat="false" ht="17.9" hidden="false" customHeight="false" outlineLevel="0" collapsed="false">
      <c r="A12" s="5"/>
      <c r="B12" s="6"/>
      <c r="C12" s="6"/>
      <c r="D12" s="6"/>
      <c r="E12" s="6"/>
      <c r="F12" s="7"/>
      <c r="G12" s="7"/>
      <c r="H12" s="6" t="s">
        <v>51</v>
      </c>
      <c r="I12" s="6" t="s">
        <v>51</v>
      </c>
      <c r="J12" s="6" t="s">
        <v>51</v>
      </c>
      <c r="K12" s="6" t="s">
        <v>51</v>
      </c>
      <c r="L12" s="6" t="s">
        <v>51</v>
      </c>
      <c r="M12" s="6" t="s">
        <v>51</v>
      </c>
      <c r="N12" s="6" t="s">
        <v>51</v>
      </c>
      <c r="O12" s="6" t="s">
        <v>51</v>
      </c>
      <c r="P12" s="6"/>
      <c r="Q12" s="6" t="s">
        <v>52</v>
      </c>
      <c r="R12" s="6" t="s">
        <v>52</v>
      </c>
      <c r="S12" s="6" t="s">
        <v>52</v>
      </c>
      <c r="T12" s="6" t="s">
        <v>52</v>
      </c>
      <c r="U12" s="6" t="s">
        <v>52</v>
      </c>
      <c r="V12" s="6" t="s">
        <v>52</v>
      </c>
      <c r="W12" s="6"/>
      <c r="X12" s="6"/>
      <c r="Y12" s="6"/>
    </row>
    <row r="13" customFormat="false" ht="17.9" hidden="false" customHeight="false" outlineLevel="0" collapsed="false">
      <c r="A13" s="5"/>
      <c r="B13" s="6"/>
      <c r="C13" s="6"/>
      <c r="D13" s="6"/>
      <c r="E13" s="6"/>
      <c r="F13" s="7"/>
      <c r="G13" s="7"/>
      <c r="H13" s="6" t="s">
        <v>53</v>
      </c>
      <c r="I13" s="6" t="s">
        <v>53</v>
      </c>
      <c r="J13" s="6" t="s">
        <v>53</v>
      </c>
      <c r="K13" s="6" t="s">
        <v>53</v>
      </c>
      <c r="L13" s="6" t="s">
        <v>53</v>
      </c>
      <c r="M13" s="6" t="s">
        <v>53</v>
      </c>
      <c r="N13" s="6" t="s">
        <v>53</v>
      </c>
      <c r="O13" s="6" t="s">
        <v>53</v>
      </c>
      <c r="P13" s="6" t="s">
        <v>53</v>
      </c>
      <c r="Q13" s="6"/>
      <c r="R13" s="6"/>
      <c r="S13" s="6" t="s">
        <v>54</v>
      </c>
      <c r="T13" s="6" t="s">
        <v>54</v>
      </c>
      <c r="U13" s="6" t="s">
        <v>54</v>
      </c>
      <c r="V13" s="6" t="s">
        <v>54</v>
      </c>
      <c r="W13" s="6" t="s">
        <v>54</v>
      </c>
      <c r="X13" s="6" t="s">
        <v>54</v>
      </c>
      <c r="Y13" s="6"/>
    </row>
    <row r="14" customFormat="false" ht="17.9" hidden="false" customHeight="false" outlineLevel="0" collapsed="false">
      <c r="A14" s="5"/>
      <c r="B14" s="6"/>
      <c r="C14" s="6"/>
      <c r="D14" s="6"/>
      <c r="E14" s="6"/>
      <c r="F14" s="7"/>
      <c r="G14" s="7"/>
      <c r="H14" s="6" t="s">
        <v>55</v>
      </c>
      <c r="I14" s="6" t="s">
        <v>55</v>
      </c>
      <c r="J14" s="6" t="s">
        <v>55</v>
      </c>
      <c r="K14" s="6" t="s">
        <v>55</v>
      </c>
      <c r="L14" s="6" t="s">
        <v>55</v>
      </c>
      <c r="M14" s="6" t="s">
        <v>55</v>
      </c>
      <c r="N14" s="6" t="s">
        <v>55</v>
      </c>
      <c r="O14" s="6" t="s">
        <v>55</v>
      </c>
      <c r="P14" s="6" t="s">
        <v>55</v>
      </c>
      <c r="Q14" s="6" t="s">
        <v>55</v>
      </c>
      <c r="R14" s="6" t="s">
        <v>55</v>
      </c>
      <c r="S14" s="6"/>
      <c r="T14" s="6" t="s">
        <v>56</v>
      </c>
      <c r="U14" s="6" t="s">
        <v>56</v>
      </c>
      <c r="V14" s="6" t="s">
        <v>56</v>
      </c>
      <c r="W14" s="6" t="s">
        <v>56</v>
      </c>
      <c r="X14" s="6"/>
      <c r="Y14" s="6"/>
    </row>
    <row r="15" customFormat="false" ht="17.9" hidden="false" customHeight="false" outlineLevel="0" collapsed="false">
      <c r="A15" s="5"/>
      <c r="B15" s="6"/>
      <c r="C15" s="6"/>
      <c r="D15" s="6"/>
      <c r="E15" s="6"/>
      <c r="F15" s="7"/>
      <c r="G15" s="7"/>
      <c r="H15" s="6" t="s">
        <v>57</v>
      </c>
      <c r="I15" s="6" t="s">
        <v>57</v>
      </c>
      <c r="J15" s="6" t="s">
        <v>57</v>
      </c>
      <c r="K15" s="6" t="s">
        <v>57</v>
      </c>
      <c r="L15" s="6"/>
      <c r="M15" s="6" t="s">
        <v>58</v>
      </c>
      <c r="N15" s="6" t="s">
        <v>58</v>
      </c>
      <c r="O15" s="6" t="s">
        <v>58</v>
      </c>
      <c r="P15" s="6" t="s">
        <v>58</v>
      </c>
      <c r="Q15" s="6"/>
      <c r="R15" s="6" t="s">
        <v>59</v>
      </c>
      <c r="S15" s="6" t="s">
        <v>59</v>
      </c>
      <c r="T15" s="6" t="s">
        <v>59</v>
      </c>
      <c r="U15" s="6" t="s">
        <v>59</v>
      </c>
      <c r="V15" s="6" t="s">
        <v>59</v>
      </c>
      <c r="W15" s="6" t="s">
        <v>59</v>
      </c>
      <c r="X15" s="6"/>
      <c r="Y15" s="6"/>
    </row>
    <row r="16" customFormat="false" ht="17.9" hidden="false" customHeight="false" outlineLevel="0" collapsed="false">
      <c r="A16" s="5"/>
      <c r="B16" s="6"/>
      <c r="C16" s="6"/>
      <c r="D16" s="6"/>
      <c r="E16" s="6"/>
      <c r="F16" s="7"/>
      <c r="G16" s="7"/>
      <c r="H16" s="6" t="s">
        <v>60</v>
      </c>
      <c r="I16" s="6" t="s">
        <v>60</v>
      </c>
      <c r="J16" s="6" t="s">
        <v>60</v>
      </c>
      <c r="K16" s="6" t="s">
        <v>60</v>
      </c>
      <c r="L16" s="6" t="s">
        <v>60</v>
      </c>
      <c r="M16" s="6" t="s">
        <v>60</v>
      </c>
      <c r="N16" s="6" t="s">
        <v>60</v>
      </c>
      <c r="O16" s="6" t="s">
        <v>60</v>
      </c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17.9" hidden="false" customHeight="false" outlineLevel="0" collapsed="false">
      <c r="A17" s="5"/>
      <c r="B17" s="6"/>
      <c r="C17" s="6"/>
      <c r="D17" s="6"/>
      <c r="E17" s="6"/>
      <c r="F17" s="7"/>
      <c r="G17" s="7"/>
      <c r="H17" s="6" t="s">
        <v>61</v>
      </c>
      <c r="I17" s="6" t="s">
        <v>61</v>
      </c>
      <c r="J17" s="6" t="s">
        <v>61</v>
      </c>
      <c r="K17" s="6" t="s">
        <v>61</v>
      </c>
      <c r="L17" s="6" t="s">
        <v>61</v>
      </c>
      <c r="M17" s="6" t="s">
        <v>61</v>
      </c>
      <c r="N17" s="6" t="s">
        <v>61</v>
      </c>
      <c r="O17" s="6" t="s">
        <v>61</v>
      </c>
      <c r="P17" s="6" t="s">
        <v>61</v>
      </c>
      <c r="Q17" s="6" t="s">
        <v>61</v>
      </c>
      <c r="R17" s="6" t="s">
        <v>61</v>
      </c>
      <c r="S17" s="6"/>
      <c r="T17" s="6"/>
      <c r="U17" s="6"/>
      <c r="V17" s="6"/>
      <c r="W17" s="6"/>
      <c r="X17" s="6"/>
      <c r="Y17" s="6"/>
    </row>
    <row r="18" customFormat="false" ht="17.9" hidden="false" customHeight="false" outlineLevel="0" collapsed="false">
      <c r="A18" s="5"/>
      <c r="B18" s="6"/>
      <c r="C18" s="6"/>
      <c r="D18" s="6"/>
      <c r="E18" s="6"/>
      <c r="F18" s="7"/>
      <c r="G18" s="7"/>
      <c r="H18" s="6" t="s">
        <v>62</v>
      </c>
      <c r="I18" s="6" t="s">
        <v>62</v>
      </c>
      <c r="J18" s="6" t="s">
        <v>62</v>
      </c>
      <c r="K18" s="6" t="s">
        <v>62</v>
      </c>
      <c r="L18" s="6" t="s">
        <v>62</v>
      </c>
      <c r="M18" s="6"/>
      <c r="N18" s="6"/>
      <c r="O18" s="6"/>
      <c r="P18" s="6"/>
      <c r="Q18" s="6"/>
      <c r="R18" s="6"/>
      <c r="S18" s="6"/>
      <c r="T18" s="6"/>
      <c r="U18" s="6" t="s">
        <v>62</v>
      </c>
      <c r="V18" s="6" t="s">
        <v>62</v>
      </c>
      <c r="W18" s="6" t="s">
        <v>62</v>
      </c>
      <c r="X18" s="6" t="s">
        <v>62</v>
      </c>
      <c r="Y18" s="6" t="s">
        <v>62</v>
      </c>
    </row>
    <row r="19" customFormat="false" ht="17.9" hidden="false" customHeight="false" outlineLevel="0" collapsed="false">
      <c r="A19" s="5"/>
      <c r="B19" s="6"/>
      <c r="C19" s="6"/>
      <c r="D19" s="6"/>
      <c r="E19" s="6"/>
      <c r="F19" s="7"/>
      <c r="G19" s="7"/>
      <c r="H19" s="6" t="s">
        <v>63</v>
      </c>
      <c r="I19" s="6" t="s">
        <v>63</v>
      </c>
      <c r="J19" s="6" t="s">
        <v>63</v>
      </c>
      <c r="K19" s="6" t="s">
        <v>63</v>
      </c>
      <c r="L19" s="6" t="s">
        <v>63</v>
      </c>
      <c r="M19" s="6" t="s">
        <v>63</v>
      </c>
      <c r="N19" s="6" t="s">
        <v>63</v>
      </c>
      <c r="O19" s="6" t="s">
        <v>63</v>
      </c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17.9" hidden="false" customHeight="false" outlineLevel="0" collapsed="false">
      <c r="A20" s="5"/>
      <c r="B20" s="6"/>
      <c r="C20" s="6"/>
      <c r="D20" s="6"/>
      <c r="E20" s="6"/>
      <c r="F20" s="7"/>
      <c r="G20" s="7"/>
      <c r="H20" s="6" t="s">
        <v>64</v>
      </c>
      <c r="I20" s="6" t="s">
        <v>64</v>
      </c>
      <c r="J20" s="6" t="s">
        <v>64</v>
      </c>
      <c r="K20" s="6" t="s">
        <v>64</v>
      </c>
      <c r="L20" s="6" t="s">
        <v>64</v>
      </c>
      <c r="M20" s="6" t="s">
        <v>64</v>
      </c>
      <c r="N20" s="6" t="s">
        <v>64</v>
      </c>
      <c r="O20" s="6" t="s">
        <v>64</v>
      </c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17.9" hidden="false" customHeight="false" outlineLevel="0" collapsed="false">
      <c r="A21" s="5"/>
      <c r="B21" s="6"/>
      <c r="C21" s="6"/>
      <c r="D21" s="6"/>
      <c r="E21" s="6" t="s">
        <v>65</v>
      </c>
      <c r="F21" s="6" t="s">
        <v>65</v>
      </c>
      <c r="G21" s="6" t="s">
        <v>65</v>
      </c>
      <c r="H21" s="6" t="s">
        <v>65</v>
      </c>
      <c r="I21" s="6" t="s">
        <v>65</v>
      </c>
      <c r="J21" s="6" t="s">
        <v>65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15" hidden="false" customHeight="false" outlineLevel="0" collapsed="false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19.7" hidden="false" customHeight="false" outlineLevel="0" collapsed="false">
      <c r="A23" s="9"/>
      <c r="B23" s="10" t="n">
        <f aca="false">COUNTA(B2:B22)</f>
        <v>4</v>
      </c>
      <c r="C23" s="10" t="n">
        <f aca="false">COUNTA(C2:C22)</f>
        <v>4</v>
      </c>
      <c r="D23" s="10" t="n">
        <f aca="false">COUNTA(D2:D22)</f>
        <v>4</v>
      </c>
      <c r="E23" s="10" t="n">
        <f aca="false">COUNTA(E2:E22)</f>
        <v>2</v>
      </c>
      <c r="F23" s="10" t="n">
        <f aca="false">COUNTA(F2:F22)</f>
        <v>2</v>
      </c>
      <c r="G23" s="10" t="n">
        <f aca="false">COUNTA(G2:G22)</f>
        <v>1</v>
      </c>
      <c r="H23" s="10" t="n">
        <f aca="false">COUNTA(H2:H22)</f>
        <v>17</v>
      </c>
      <c r="I23" s="10" t="n">
        <f aca="false">COUNTA(I2:I22)</f>
        <v>18</v>
      </c>
      <c r="J23" s="10" t="n">
        <f aca="false">COUNTA(J2:J22)</f>
        <v>20</v>
      </c>
      <c r="K23" s="10" t="n">
        <f aca="false">COUNTA(K2:K22)</f>
        <v>19</v>
      </c>
      <c r="L23" s="10" t="n">
        <f aca="false">COUNTA(L2:L21)</f>
        <v>18</v>
      </c>
      <c r="M23" s="10" t="n">
        <f aca="false">COUNTA(M2:M21)</f>
        <v>18</v>
      </c>
      <c r="N23" s="10" t="n">
        <f aca="false">COUNTA(N2:N22)</f>
        <v>16</v>
      </c>
      <c r="O23" s="10" t="n">
        <f aca="false">COUNTA(O2:O22)</f>
        <v>16</v>
      </c>
      <c r="P23" s="10" t="n">
        <f aca="false">COUNTA(P2:P22)</f>
        <v>13</v>
      </c>
      <c r="Q23" s="10" t="n">
        <f aca="false">COUNTA(Q2:Q22)</f>
        <v>12</v>
      </c>
      <c r="R23" s="10" t="n">
        <f aca="false">COUNTA(R2:R22)</f>
        <v>13</v>
      </c>
      <c r="S23" s="10" t="n">
        <f aca="false">COUNTA(S2:S22)</f>
        <v>11</v>
      </c>
      <c r="T23" s="10" t="n">
        <f aca="false">COUNTA(T2:T22)</f>
        <v>12</v>
      </c>
      <c r="U23" s="10" t="n">
        <f aca="false">COUNTA(U2:U22)</f>
        <v>14</v>
      </c>
      <c r="V23" s="10" t="n">
        <f aca="false">COUNTA(V2:V22)</f>
        <v>10</v>
      </c>
      <c r="W23" s="10" t="n">
        <f aca="false">COUNTA(W2:W22)</f>
        <v>9</v>
      </c>
      <c r="X23" s="10" t="n">
        <f aca="false">COUNTA(X2:X22)</f>
        <v>6</v>
      </c>
      <c r="Y23" s="10" t="n">
        <f aca="false">COUNTA(Y2:Y22)</f>
        <v>5</v>
      </c>
    </row>
    <row r="24" customFormat="false" ht="15.75" hidden="false" customHeight="true" outlineLevel="0" collapsed="false">
      <c r="A24" s="11" t="s">
        <v>66</v>
      </c>
      <c r="B24" s="6" t="s">
        <v>25</v>
      </c>
      <c r="C24" s="6" t="s">
        <v>25</v>
      </c>
      <c r="D24" s="6" t="s">
        <v>25</v>
      </c>
      <c r="E24" s="6" t="s">
        <v>25</v>
      </c>
      <c r="F24" s="6" t="s">
        <v>25</v>
      </c>
      <c r="G24" s="6" t="s">
        <v>25</v>
      </c>
      <c r="H24" s="6" t="s">
        <v>59</v>
      </c>
      <c r="I24" s="6" t="s">
        <v>59</v>
      </c>
      <c r="J24" s="6" t="s">
        <v>59</v>
      </c>
      <c r="K24" s="6" t="s">
        <v>59</v>
      </c>
      <c r="L24" s="6" t="s">
        <v>59</v>
      </c>
      <c r="M24" s="6" t="s">
        <v>59</v>
      </c>
      <c r="N24" s="6" t="s">
        <v>59</v>
      </c>
      <c r="O24" s="6" t="s">
        <v>59</v>
      </c>
      <c r="P24" s="6" t="s">
        <v>33</v>
      </c>
      <c r="Q24" s="6" t="s">
        <v>33</v>
      </c>
      <c r="R24" s="6" t="s">
        <v>33</v>
      </c>
      <c r="S24" s="6" t="s">
        <v>33</v>
      </c>
      <c r="T24" s="6" t="s">
        <v>33</v>
      </c>
      <c r="U24" s="6" t="s">
        <v>33</v>
      </c>
      <c r="V24" s="6" t="s">
        <v>39</v>
      </c>
      <c r="W24" s="6" t="s">
        <v>39</v>
      </c>
      <c r="X24" s="6" t="s">
        <v>39</v>
      </c>
      <c r="Y24" s="6" t="s">
        <v>39</v>
      </c>
    </row>
    <row r="25" customFormat="false" ht="17.9" hidden="false" customHeight="false" outlineLevel="0" collapsed="false">
      <c r="A25" s="1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 t="s">
        <v>36</v>
      </c>
      <c r="R25" s="6" t="s">
        <v>36</v>
      </c>
      <c r="S25" s="6" t="s">
        <v>36</v>
      </c>
      <c r="T25" s="6" t="s">
        <v>36</v>
      </c>
      <c r="U25" s="6" t="s">
        <v>36</v>
      </c>
      <c r="V25" s="6" t="s">
        <v>67</v>
      </c>
      <c r="W25" s="6" t="s">
        <v>67</v>
      </c>
      <c r="X25" s="6" t="s">
        <v>67</v>
      </c>
      <c r="Y25" s="6" t="s">
        <v>67</v>
      </c>
    </row>
    <row r="26" customFormat="false" ht="17.9" hidden="false" customHeight="false" outlineLevel="0" collapsed="false">
      <c r="A26" s="11"/>
      <c r="B26" s="6" t="s">
        <v>27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30</v>
      </c>
      <c r="I26" s="6" t="s">
        <v>30</v>
      </c>
      <c r="J26" s="6" t="s">
        <v>30</v>
      </c>
      <c r="K26" s="6" t="s">
        <v>30</v>
      </c>
      <c r="L26" s="6" t="s">
        <v>30</v>
      </c>
      <c r="M26" s="6" t="s">
        <v>30</v>
      </c>
      <c r="N26" s="6"/>
      <c r="O26" s="6"/>
      <c r="P26" s="6" t="s">
        <v>40</v>
      </c>
      <c r="Q26" s="6" t="s">
        <v>40</v>
      </c>
      <c r="R26" s="6" t="s">
        <v>40</v>
      </c>
      <c r="S26" s="6" t="s">
        <v>40</v>
      </c>
      <c r="T26" s="6" t="s">
        <v>40</v>
      </c>
      <c r="U26" s="6" t="s">
        <v>40</v>
      </c>
      <c r="V26" s="6"/>
      <c r="W26" s="6"/>
      <c r="X26" s="6"/>
      <c r="Y26" s="6"/>
    </row>
    <row r="27" customFormat="false" ht="17.9" hidden="false" customHeight="false" outlineLevel="0" collapsed="false">
      <c r="A27" s="11"/>
      <c r="B27" s="6"/>
      <c r="C27" s="6"/>
      <c r="D27" s="6"/>
      <c r="E27" s="6"/>
      <c r="F27" s="6"/>
      <c r="G27" s="6"/>
      <c r="H27" s="6"/>
      <c r="I27" s="6"/>
      <c r="J27" s="6"/>
      <c r="K27" s="6" t="s">
        <v>50</v>
      </c>
      <c r="L27" s="6" t="s">
        <v>50</v>
      </c>
      <c r="M27" s="6" t="s">
        <v>50</v>
      </c>
      <c r="N27" s="6" t="s">
        <v>50</v>
      </c>
      <c r="O27" s="6"/>
      <c r="P27" s="6" t="s">
        <v>43</v>
      </c>
      <c r="Q27" s="6" t="s">
        <v>43</v>
      </c>
      <c r="R27" s="6" t="s">
        <v>43</v>
      </c>
      <c r="S27" s="6" t="s">
        <v>43</v>
      </c>
      <c r="T27" s="6" t="s">
        <v>43</v>
      </c>
      <c r="U27" s="6" t="s">
        <v>43</v>
      </c>
      <c r="V27" s="6"/>
      <c r="W27" s="6"/>
      <c r="X27" s="6"/>
      <c r="Y27" s="6"/>
    </row>
    <row r="28" customFormat="false" ht="17.9" hidden="false" customHeight="false" outlineLevel="0" collapsed="false">
      <c r="A28" s="11"/>
      <c r="B28" s="6"/>
      <c r="C28" s="6"/>
      <c r="D28" s="6"/>
      <c r="E28" s="6"/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/>
      <c r="L28" s="6"/>
      <c r="M28" s="6"/>
      <c r="N28" s="6"/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/>
      <c r="V28" s="6"/>
      <c r="W28" s="6"/>
      <c r="X28" s="6"/>
      <c r="Y28" s="6"/>
    </row>
    <row r="29" customFormat="false" ht="17.9" hidden="false" customHeight="false" outlineLevel="0" collapsed="false">
      <c r="A29" s="11"/>
      <c r="B29" s="6"/>
      <c r="C29" s="6"/>
      <c r="D29" s="6"/>
      <c r="E29" s="6"/>
      <c r="F29" s="6" t="s">
        <v>35</v>
      </c>
      <c r="G29" s="6" t="s">
        <v>35</v>
      </c>
      <c r="H29" s="6" t="s">
        <v>35</v>
      </c>
      <c r="I29" s="6" t="s">
        <v>35</v>
      </c>
      <c r="J29" s="6" t="s">
        <v>35</v>
      </c>
      <c r="K29" s="6" t="s">
        <v>35</v>
      </c>
      <c r="L29" s="6" t="s">
        <v>35</v>
      </c>
      <c r="M29" s="6" t="s">
        <v>35</v>
      </c>
      <c r="N29" s="6" t="s">
        <v>41</v>
      </c>
      <c r="O29" s="6" t="s">
        <v>41</v>
      </c>
      <c r="P29" s="6" t="s">
        <v>41</v>
      </c>
      <c r="Q29" s="6" t="s">
        <v>41</v>
      </c>
      <c r="R29" s="6" t="s">
        <v>41</v>
      </c>
      <c r="S29" s="6" t="s">
        <v>41</v>
      </c>
      <c r="T29" s="6" t="s">
        <v>41</v>
      </c>
      <c r="U29" s="6" t="s">
        <v>41</v>
      </c>
      <c r="V29" s="6"/>
      <c r="W29" s="6"/>
      <c r="X29" s="6"/>
      <c r="Y29" s="6"/>
    </row>
    <row r="30" customFormat="false" ht="17.9" hidden="false" customHeight="false" outlineLevel="0" collapsed="false">
      <c r="A30" s="11"/>
      <c r="B30" s="6"/>
      <c r="C30" s="6" t="s">
        <v>69</v>
      </c>
      <c r="D30" s="6" t="s">
        <v>69</v>
      </c>
      <c r="E30" s="6" t="s">
        <v>69</v>
      </c>
      <c r="F30" s="6" t="s">
        <v>69</v>
      </c>
      <c r="G30" s="6"/>
      <c r="H30" s="6" t="s">
        <v>47</v>
      </c>
      <c r="I30" s="6" t="s">
        <v>47</v>
      </c>
      <c r="J30" s="6" t="s">
        <v>47</v>
      </c>
      <c r="K30" s="6" t="s">
        <v>47</v>
      </c>
      <c r="L30" s="6" t="s">
        <v>47</v>
      </c>
      <c r="M30" s="6"/>
      <c r="N30" s="6" t="s">
        <v>46</v>
      </c>
      <c r="O30" s="6" t="s">
        <v>46</v>
      </c>
      <c r="P30" s="6" t="s">
        <v>46</v>
      </c>
      <c r="Q30" s="6" t="s">
        <v>46</v>
      </c>
      <c r="R30" s="6" t="s">
        <v>46</v>
      </c>
      <c r="S30" s="6" t="s">
        <v>46</v>
      </c>
      <c r="T30" s="6" t="s">
        <v>46</v>
      </c>
      <c r="U30" s="6" t="s">
        <v>46</v>
      </c>
      <c r="V30" s="6"/>
      <c r="W30" s="6"/>
      <c r="X30" s="6"/>
      <c r="Y30" s="6"/>
    </row>
    <row r="31" customFormat="false" ht="17.9" hidden="false" customHeight="false" outlineLevel="0" collapsed="false">
      <c r="A31" s="11"/>
      <c r="B31" s="6" t="s">
        <v>34</v>
      </c>
      <c r="C31" s="6" t="s">
        <v>34</v>
      </c>
      <c r="D31" s="6" t="s">
        <v>34</v>
      </c>
      <c r="E31" s="6" t="s">
        <v>34</v>
      </c>
      <c r="F31" s="6" t="s">
        <v>34</v>
      </c>
      <c r="G31" s="6" t="s">
        <v>34</v>
      </c>
      <c r="H31" s="6" t="s">
        <v>34</v>
      </c>
      <c r="I31" s="6"/>
      <c r="J31" s="6"/>
      <c r="K31" s="6"/>
      <c r="L31" s="6" t="s">
        <v>45</v>
      </c>
      <c r="M31" s="6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6" t="s">
        <v>45</v>
      </c>
      <c r="S31" s="6"/>
      <c r="T31" s="6"/>
      <c r="U31" s="6"/>
      <c r="V31" s="6"/>
      <c r="W31" s="6"/>
      <c r="X31" s="6"/>
      <c r="Y31" s="6"/>
    </row>
    <row r="32" customFormat="false" ht="17.9" hidden="false" customHeight="false" outlineLevel="0" collapsed="false">
      <c r="A32" s="11"/>
      <c r="B32" s="6"/>
      <c r="C32" s="6"/>
      <c r="D32" s="6"/>
      <c r="E32" s="6"/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70</v>
      </c>
      <c r="N32" s="6"/>
      <c r="O32" s="6"/>
      <c r="P32" s="6"/>
      <c r="Q32" s="6" t="s">
        <v>71</v>
      </c>
      <c r="R32" s="6" t="s">
        <v>71</v>
      </c>
      <c r="S32" s="6" t="s">
        <v>71</v>
      </c>
      <c r="T32" s="6" t="s">
        <v>71</v>
      </c>
      <c r="U32" s="6" t="s">
        <v>71</v>
      </c>
      <c r="V32" s="6" t="s">
        <v>71</v>
      </c>
      <c r="W32" s="6"/>
      <c r="X32" s="6"/>
      <c r="Y32" s="6"/>
    </row>
    <row r="33" customFormat="false" ht="17.9" hidden="false" customHeight="false" outlineLevel="0" collapsed="false">
      <c r="A33" s="11"/>
      <c r="B33" s="6" t="s">
        <v>42</v>
      </c>
      <c r="C33" s="6" t="s">
        <v>42</v>
      </c>
      <c r="D33" s="6" t="s">
        <v>42</v>
      </c>
      <c r="E33" s="6" t="s">
        <v>42</v>
      </c>
      <c r="F33" s="6" t="s">
        <v>42</v>
      </c>
      <c r="G33" s="6"/>
      <c r="H33" s="6"/>
      <c r="I33" s="6"/>
      <c r="J33" s="6"/>
      <c r="K33" s="6"/>
      <c r="L33" s="6"/>
      <c r="M33" s="6"/>
      <c r="N33" s="6" t="s">
        <v>57</v>
      </c>
      <c r="O33" s="6" t="s">
        <v>57</v>
      </c>
      <c r="P33" s="6" t="s">
        <v>57</v>
      </c>
      <c r="Q33" s="6" t="s">
        <v>57</v>
      </c>
      <c r="R33" s="6" t="s">
        <v>57</v>
      </c>
      <c r="S33" s="6"/>
      <c r="T33" s="6"/>
      <c r="U33" s="6"/>
      <c r="V33" s="6"/>
      <c r="W33" s="6"/>
      <c r="X33" s="6"/>
      <c r="Y33" s="6"/>
    </row>
    <row r="34" customFormat="false" ht="17.9" hidden="false" customHeight="false" outlineLevel="0" collapsed="false">
      <c r="A34" s="11"/>
      <c r="B34" s="6"/>
      <c r="C34" s="6"/>
      <c r="D34" s="6"/>
      <c r="E34" s="6" t="s">
        <v>65</v>
      </c>
      <c r="F34" s="6" t="s">
        <v>65</v>
      </c>
      <c r="G34" s="6" t="s">
        <v>65</v>
      </c>
      <c r="H34" s="6" t="s">
        <v>65</v>
      </c>
      <c r="I34" s="6" t="s">
        <v>65</v>
      </c>
      <c r="J34" s="6" t="s">
        <v>65</v>
      </c>
      <c r="K34" s="6"/>
      <c r="L34" s="6"/>
      <c r="M34" s="6"/>
      <c r="N34" s="6" t="s">
        <v>38</v>
      </c>
      <c r="O34" s="6" t="s">
        <v>38</v>
      </c>
      <c r="P34" s="6" t="s">
        <v>38</v>
      </c>
      <c r="Q34" s="6" t="s">
        <v>38</v>
      </c>
      <c r="R34" s="6" t="s">
        <v>38</v>
      </c>
      <c r="S34" s="6" t="s">
        <v>38</v>
      </c>
      <c r="T34" s="6" t="s">
        <v>38</v>
      </c>
      <c r="U34" s="6"/>
      <c r="V34" s="6"/>
      <c r="W34" s="6"/>
      <c r="X34" s="6"/>
      <c r="Y34" s="6"/>
    </row>
    <row r="35" customFormat="false" ht="17.9" hidden="false" customHeight="false" outlineLevel="0" collapsed="false">
      <c r="A35" s="11"/>
      <c r="B35" s="6"/>
      <c r="C35" s="6"/>
      <c r="D35" s="6"/>
      <c r="E35" s="6"/>
      <c r="F35" s="6"/>
      <c r="G35" s="6"/>
      <c r="H35" s="6"/>
      <c r="I35" s="6"/>
      <c r="J35" s="6" t="s">
        <v>58</v>
      </c>
      <c r="K35" s="6" t="s">
        <v>58</v>
      </c>
      <c r="L35" s="6" t="s">
        <v>58</v>
      </c>
      <c r="M35" s="6" t="s">
        <v>58</v>
      </c>
      <c r="N35" s="6" t="s">
        <v>58</v>
      </c>
      <c r="O35" s="6"/>
      <c r="P35" s="6"/>
      <c r="Q35" s="6" t="s">
        <v>48</v>
      </c>
      <c r="R35" s="6" t="s">
        <v>48</v>
      </c>
      <c r="S35" s="6" t="s">
        <v>48</v>
      </c>
      <c r="T35" s="6" t="s">
        <v>48</v>
      </c>
      <c r="U35" s="6" t="s">
        <v>48</v>
      </c>
      <c r="V35" s="6" t="s">
        <v>48</v>
      </c>
      <c r="W35" s="6" t="s">
        <v>48</v>
      </c>
      <c r="X35" s="6" t="s">
        <v>48</v>
      </c>
      <c r="Y35" s="6" t="s">
        <v>48</v>
      </c>
    </row>
    <row r="36" customFormat="false" ht="15.75" hidden="false" customHeight="true" outlineLevel="0" collapsed="false">
      <c r="A36" s="11"/>
      <c r="B36" s="6"/>
      <c r="C36" s="6"/>
      <c r="D36" s="6" t="s">
        <v>72</v>
      </c>
      <c r="E36" s="6" t="s">
        <v>72</v>
      </c>
      <c r="F36" s="6" t="s">
        <v>72</v>
      </c>
      <c r="G36" s="6" t="s">
        <v>72</v>
      </c>
      <c r="H36" s="6" t="s">
        <v>72</v>
      </c>
      <c r="I36" s="6" t="s">
        <v>72</v>
      </c>
      <c r="J36" s="6" t="s">
        <v>72</v>
      </c>
      <c r="K36" s="6"/>
      <c r="L36" s="6"/>
      <c r="M36" s="6" t="s">
        <v>52</v>
      </c>
      <c r="N36" s="6" t="s">
        <v>52</v>
      </c>
      <c r="O36" s="6" t="s">
        <v>52</v>
      </c>
      <c r="P36" s="6" t="s">
        <v>52</v>
      </c>
      <c r="Q36" s="6" t="s">
        <v>52</v>
      </c>
      <c r="R36" s="6" t="s">
        <v>54</v>
      </c>
      <c r="S36" s="6" t="s">
        <v>54</v>
      </c>
      <c r="T36" s="6" t="s">
        <v>54</v>
      </c>
      <c r="U36" s="6" t="s">
        <v>54</v>
      </c>
      <c r="V36" s="6" t="s">
        <v>54</v>
      </c>
      <c r="W36" s="6" t="s">
        <v>54</v>
      </c>
      <c r="X36" s="6"/>
      <c r="Y36" s="6"/>
    </row>
    <row r="37" customFormat="false" ht="15.75" hidden="false" customHeight="true" outlineLevel="0" collapsed="false">
      <c r="A37" s="1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 t="s">
        <v>56</v>
      </c>
      <c r="R37" s="6" t="s">
        <v>56</v>
      </c>
      <c r="S37" s="6" t="s">
        <v>56</v>
      </c>
      <c r="T37" s="6" t="s">
        <v>56</v>
      </c>
      <c r="U37" s="6" t="s">
        <v>56</v>
      </c>
      <c r="V37" s="6"/>
      <c r="W37" s="6"/>
      <c r="X37" s="6"/>
      <c r="Y37" s="6"/>
    </row>
    <row r="38" customFormat="false" ht="15.75" hidden="false" customHeight="true" outlineLevel="0" collapsed="false">
      <c r="A38" s="11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15.75" hidden="false" customHeight="true" outlineLevel="0" collapsed="false">
      <c r="A39" s="11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5.75" hidden="false" customHeight="true" outlineLevel="0" collapsed="false">
      <c r="A40" s="1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5.75" hidden="false" customHeight="true" outlineLevel="0" collapsed="false">
      <c r="A41" s="1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5.75" hidden="false" customHeight="true" outlineLevel="0" collapsed="false">
      <c r="A42" s="1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5.75" hidden="false" customHeight="true" outlineLevel="0" collapsed="false">
      <c r="A43" s="1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customFormat="false" ht="15.75" hidden="false" customHeight="true" outlineLevel="0" collapsed="false">
      <c r="A44" s="1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5.75" hidden="false" customHeight="true" outlineLevel="0" collapsed="false">
      <c r="A45" s="1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5" hidden="false" customHeight="false" outlineLevel="0" collapsed="false">
      <c r="A46" s="1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3.5" hidden="false" customHeight="true" outlineLevel="0" collapsed="false">
      <c r="A47" s="12"/>
      <c r="B47" s="6" t="n">
        <f aca="false">COUNTA((B24:B46))</f>
        <v>4</v>
      </c>
      <c r="C47" s="6" t="n">
        <f aca="false">COUNTA((C24:C46))</f>
        <v>5</v>
      </c>
      <c r="D47" s="6" t="n">
        <f aca="false">COUNTA((D24:D46))</f>
        <v>6</v>
      </c>
      <c r="E47" s="6" t="n">
        <f aca="false">COUNTA((E24:E46))</f>
        <v>7</v>
      </c>
      <c r="F47" s="6" t="n">
        <f aca="false">COUNTA((F24:F46))</f>
        <v>10</v>
      </c>
      <c r="G47" s="6" t="n">
        <f aca="false">COUNTA((G24:G46))</f>
        <v>8</v>
      </c>
      <c r="H47" s="6" t="n">
        <f aca="false">COUNTA((H24:H46))</f>
        <v>9</v>
      </c>
      <c r="I47" s="6" t="n">
        <f aca="false">COUNTA((I24:I45))</f>
        <v>8</v>
      </c>
      <c r="J47" s="6" t="n">
        <f aca="false">COUNTA((J24:J45))</f>
        <v>9</v>
      </c>
      <c r="K47" s="6" t="n">
        <f aca="false">COUNTA((K24:K45))</f>
        <v>7</v>
      </c>
      <c r="L47" s="6" t="n">
        <f aca="false">COUNTA((L24:L45))</f>
        <v>8</v>
      </c>
      <c r="M47" s="6" t="n">
        <f aca="false">COUNTA((M24:M46))</f>
        <v>8</v>
      </c>
      <c r="N47" s="6" t="n">
        <f aca="false">COUNTA((N24:N46))</f>
        <v>9</v>
      </c>
      <c r="O47" s="6" t="n">
        <f aca="false">COUNTA((O24:O46))</f>
        <v>8</v>
      </c>
      <c r="P47" s="6" t="n">
        <f aca="false">COUNTA((P24:P46))</f>
        <v>10</v>
      </c>
      <c r="Q47" s="6" t="n">
        <f aca="false">COUNTA((Q24:Q46))</f>
        <v>14</v>
      </c>
      <c r="R47" s="6" t="n">
        <f aca="false">COUNTA((R24:R46))</f>
        <v>14</v>
      </c>
      <c r="S47" s="6" t="n">
        <f aca="false">COUNTA((S24:S46))</f>
        <v>12</v>
      </c>
      <c r="T47" s="6" t="n">
        <f aca="false">COUNTA((T24:T46))</f>
        <v>12</v>
      </c>
      <c r="U47" s="6" t="n">
        <f aca="false">COUNTA((U24:U46))</f>
        <v>10</v>
      </c>
      <c r="V47" s="6" t="n">
        <f aca="false">COUNTA((V24:V46))</f>
        <v>5</v>
      </c>
      <c r="W47" s="6" t="n">
        <f aca="false">COUNTA((W24:W46))</f>
        <v>4</v>
      </c>
      <c r="X47" s="6" t="n">
        <f aca="false">COUNTA((X24:X46))</f>
        <v>3</v>
      </c>
      <c r="Y47" s="6" t="n">
        <f aca="false">COUNTA((Y24:Y46))</f>
        <v>3</v>
      </c>
    </row>
    <row r="48" customFormat="false" ht="15.75" hidden="false" customHeight="true" outlineLevel="0" collapsed="false">
      <c r="A48" s="5" t="s">
        <v>73</v>
      </c>
      <c r="B48" s="6" t="s">
        <v>25</v>
      </c>
      <c r="C48" s="6" t="s">
        <v>25</v>
      </c>
      <c r="D48" s="6" t="s">
        <v>25</v>
      </c>
      <c r="E48" s="6"/>
      <c r="F48" s="7"/>
      <c r="G48" s="7"/>
      <c r="H48" s="6" t="s">
        <v>26</v>
      </c>
      <c r="I48" s="6" t="s">
        <v>26</v>
      </c>
      <c r="J48" s="6" t="s">
        <v>26</v>
      </c>
      <c r="K48" s="6" t="s">
        <v>26</v>
      </c>
      <c r="L48" s="6" t="s">
        <v>26</v>
      </c>
      <c r="M48" s="6" t="s">
        <v>26</v>
      </c>
      <c r="N48" s="6" t="s">
        <v>26</v>
      </c>
      <c r="O48" s="6" t="s">
        <v>26</v>
      </c>
      <c r="P48" s="6" t="s">
        <v>26</v>
      </c>
      <c r="Q48" s="6" t="s">
        <v>26</v>
      </c>
      <c r="R48" s="6" t="s">
        <v>26</v>
      </c>
      <c r="S48" s="6"/>
      <c r="T48" s="6"/>
      <c r="U48" s="6"/>
      <c r="V48" s="6"/>
      <c r="W48" s="6"/>
      <c r="X48" s="6"/>
      <c r="Y48" s="6"/>
    </row>
    <row r="49" customFormat="false" ht="15.75" hidden="false" customHeight="true" outlineLevel="0" collapsed="false">
      <c r="A49" s="5"/>
      <c r="B49" s="6" t="s">
        <v>27</v>
      </c>
      <c r="C49" s="6" t="s">
        <v>27</v>
      </c>
      <c r="D49" s="6" t="s">
        <v>27</v>
      </c>
      <c r="E49" s="6" t="s">
        <v>28</v>
      </c>
      <c r="F49" s="8" t="s">
        <v>29</v>
      </c>
      <c r="G49" s="7"/>
      <c r="H49" s="6"/>
      <c r="I49" s="6"/>
      <c r="J49" s="6" t="s">
        <v>32</v>
      </c>
      <c r="K49" s="6" t="s">
        <v>32</v>
      </c>
      <c r="L49" s="6" t="s">
        <v>32</v>
      </c>
      <c r="M49" s="6" t="s">
        <v>32</v>
      </c>
      <c r="N49" s="6" t="s">
        <v>32</v>
      </c>
      <c r="O49" s="6" t="s">
        <v>32</v>
      </c>
      <c r="P49" s="6" t="s">
        <v>33</v>
      </c>
      <c r="Q49" s="6" t="s">
        <v>33</v>
      </c>
      <c r="R49" s="6" t="s">
        <v>33</v>
      </c>
      <c r="S49" s="6" t="s">
        <v>33</v>
      </c>
      <c r="T49" s="6" t="s">
        <v>33</v>
      </c>
      <c r="U49" s="6" t="s">
        <v>33</v>
      </c>
      <c r="V49" s="6"/>
      <c r="W49" s="6"/>
      <c r="X49" s="6"/>
      <c r="Y49" s="6"/>
    </row>
    <row r="50" customFormat="false" ht="15.75" hidden="false" customHeight="true" outlineLevel="0" collapsed="false">
      <c r="A50" s="5"/>
      <c r="B50" s="6"/>
      <c r="C50" s="6"/>
      <c r="D50" s="6"/>
      <c r="E50" s="6"/>
      <c r="F50" s="7"/>
      <c r="G50" s="7"/>
      <c r="H50" s="6" t="s">
        <v>74</v>
      </c>
      <c r="I50" s="6" t="s">
        <v>74</v>
      </c>
      <c r="J50" s="6" t="s">
        <v>74</v>
      </c>
      <c r="K50" s="6" t="s">
        <v>74</v>
      </c>
      <c r="L50" s="6" t="s">
        <v>74</v>
      </c>
      <c r="M50" s="6" t="s">
        <v>74</v>
      </c>
      <c r="N50" s="6"/>
      <c r="O50" s="6"/>
      <c r="P50" s="6"/>
      <c r="Q50" s="6"/>
      <c r="R50" s="6"/>
      <c r="S50" s="6"/>
      <c r="T50" s="6" t="s">
        <v>56</v>
      </c>
      <c r="U50" s="6" t="s">
        <v>56</v>
      </c>
      <c r="V50" s="6" t="s">
        <v>56</v>
      </c>
      <c r="W50" s="6" t="s">
        <v>56</v>
      </c>
      <c r="X50" s="6"/>
      <c r="Y50" s="6"/>
    </row>
    <row r="51" customFormat="false" ht="15.75" hidden="false" customHeight="true" outlineLevel="0" collapsed="false">
      <c r="A51" s="5"/>
      <c r="B51" s="6" t="s">
        <v>34</v>
      </c>
      <c r="C51" s="6" t="s">
        <v>34</v>
      </c>
      <c r="D51" s="6" t="s">
        <v>34</v>
      </c>
      <c r="E51" s="6"/>
      <c r="F51" s="7"/>
      <c r="G51" s="7"/>
      <c r="H51" s="6" t="s">
        <v>35</v>
      </c>
      <c r="I51" s="6" t="s">
        <v>35</v>
      </c>
      <c r="J51" s="6" t="s">
        <v>35</v>
      </c>
      <c r="K51" s="6" t="s">
        <v>35</v>
      </c>
      <c r="L51" s="6" t="s">
        <v>36</v>
      </c>
      <c r="M51" s="6" t="s">
        <v>36</v>
      </c>
      <c r="N51" s="6" t="s">
        <v>36</v>
      </c>
      <c r="O51" s="6" t="s">
        <v>36</v>
      </c>
      <c r="P51" s="6" t="s">
        <v>36</v>
      </c>
      <c r="Q51" s="6"/>
      <c r="R51" s="6" t="s">
        <v>44</v>
      </c>
      <c r="S51" s="6" t="s">
        <v>44</v>
      </c>
      <c r="T51" s="6" t="s">
        <v>44</v>
      </c>
      <c r="U51" s="6" t="s">
        <v>44</v>
      </c>
      <c r="V51" s="6" t="s">
        <v>44</v>
      </c>
      <c r="W51" s="6" t="s">
        <v>44</v>
      </c>
      <c r="X51" s="6" t="s">
        <v>44</v>
      </c>
      <c r="Y51" s="6" t="s">
        <v>44</v>
      </c>
    </row>
    <row r="52" customFormat="false" ht="15.75" hidden="false" customHeight="true" outlineLevel="0" collapsed="false">
      <c r="A52" s="5"/>
      <c r="B52" s="6" t="s">
        <v>42</v>
      </c>
      <c r="C52" s="6" t="s">
        <v>42</v>
      </c>
      <c r="D52" s="6" t="s">
        <v>42</v>
      </c>
      <c r="E52" s="6"/>
      <c r="F52" s="7"/>
      <c r="G52" s="7"/>
      <c r="H52" s="6" t="s">
        <v>30</v>
      </c>
      <c r="I52" s="6" t="s">
        <v>30</v>
      </c>
      <c r="J52" s="6" t="s">
        <v>30</v>
      </c>
      <c r="K52" s="6" t="s">
        <v>30</v>
      </c>
      <c r="L52" s="6" t="s">
        <v>30</v>
      </c>
      <c r="M52" s="6" t="s">
        <v>30</v>
      </c>
      <c r="N52" s="6" t="s">
        <v>53</v>
      </c>
      <c r="O52" s="6" t="s">
        <v>53</v>
      </c>
      <c r="P52" s="6" t="s">
        <v>53</v>
      </c>
      <c r="Q52" s="6" t="s">
        <v>53</v>
      </c>
      <c r="R52" s="6" t="s">
        <v>53</v>
      </c>
      <c r="S52" s="6" t="s">
        <v>53</v>
      </c>
      <c r="T52" s="6" t="s">
        <v>53</v>
      </c>
      <c r="U52" s="6" t="s">
        <v>53</v>
      </c>
      <c r="V52" s="6"/>
      <c r="W52" s="6"/>
      <c r="X52" s="6"/>
      <c r="Y52" s="6"/>
    </row>
    <row r="53" customFormat="false" ht="15.75" hidden="false" customHeight="true" outlineLevel="0" collapsed="false">
      <c r="A53" s="5"/>
      <c r="B53" s="6"/>
      <c r="C53" s="6"/>
      <c r="D53" s="6"/>
      <c r="E53" s="6"/>
      <c r="F53" s="7"/>
      <c r="G53" s="7"/>
      <c r="H53" s="6" t="s">
        <v>40</v>
      </c>
      <c r="I53" s="6" t="s">
        <v>40</v>
      </c>
      <c r="J53" s="6" t="s">
        <v>40</v>
      </c>
      <c r="K53" s="6" t="s">
        <v>40</v>
      </c>
      <c r="L53" s="6" t="s">
        <v>40</v>
      </c>
      <c r="M53" s="6" t="s">
        <v>40</v>
      </c>
      <c r="N53" s="6" t="s">
        <v>40</v>
      </c>
      <c r="O53" s="6" t="s">
        <v>40</v>
      </c>
      <c r="P53" s="6"/>
      <c r="Q53" s="6" t="s">
        <v>52</v>
      </c>
      <c r="R53" s="6" t="s">
        <v>52</v>
      </c>
      <c r="S53" s="6" t="s">
        <v>52</v>
      </c>
      <c r="T53" s="6" t="s">
        <v>52</v>
      </c>
      <c r="U53" s="6" t="s">
        <v>52</v>
      </c>
      <c r="V53" s="6" t="s">
        <v>52</v>
      </c>
      <c r="W53" s="6"/>
      <c r="X53" s="6"/>
      <c r="Y53" s="6"/>
    </row>
    <row r="54" customFormat="false" ht="15.75" hidden="false" customHeight="true" outlineLevel="0" collapsed="false">
      <c r="A54" s="5"/>
      <c r="B54" s="6"/>
      <c r="C54" s="6"/>
      <c r="D54" s="6"/>
      <c r="E54" s="6"/>
      <c r="F54" s="7"/>
      <c r="G54" s="7"/>
      <c r="H54" s="6" t="s">
        <v>71</v>
      </c>
      <c r="I54" s="6" t="s">
        <v>71</v>
      </c>
      <c r="J54" s="6" t="s">
        <v>71</v>
      </c>
      <c r="K54" s="6" t="s">
        <v>71</v>
      </c>
      <c r="L54" s="6" t="s">
        <v>43</v>
      </c>
      <c r="M54" s="6" t="s">
        <v>43</v>
      </c>
      <c r="N54" s="6" t="s">
        <v>43</v>
      </c>
      <c r="O54" s="6" t="s">
        <v>43</v>
      </c>
      <c r="P54" s="6" t="s">
        <v>43</v>
      </c>
      <c r="Q54" s="6" t="s">
        <v>43</v>
      </c>
      <c r="R54" s="6" t="s">
        <v>43</v>
      </c>
      <c r="S54" s="6" t="s">
        <v>43</v>
      </c>
      <c r="T54" s="6"/>
      <c r="U54" s="6" t="s">
        <v>54</v>
      </c>
      <c r="V54" s="6" t="s">
        <v>54</v>
      </c>
      <c r="W54" s="6" t="s">
        <v>54</v>
      </c>
      <c r="X54" s="6" t="s">
        <v>54</v>
      </c>
      <c r="Y54" s="6"/>
    </row>
    <row r="55" customFormat="false" ht="15.75" hidden="false" customHeight="true" outlineLevel="0" collapsed="false">
      <c r="A55" s="5"/>
      <c r="B55" s="6"/>
      <c r="C55" s="6"/>
      <c r="D55" s="6"/>
      <c r="E55" s="6"/>
      <c r="F55" s="7"/>
      <c r="G55" s="7"/>
      <c r="H55" s="6" t="s">
        <v>45</v>
      </c>
      <c r="I55" s="6" t="s">
        <v>45</v>
      </c>
      <c r="J55" s="6" t="s">
        <v>45</v>
      </c>
      <c r="K55" s="6" t="s">
        <v>45</v>
      </c>
      <c r="L55" s="6" t="s">
        <v>45</v>
      </c>
      <c r="M55" s="6" t="s">
        <v>45</v>
      </c>
      <c r="N55" s="6"/>
      <c r="O55" s="6"/>
      <c r="P55" s="6" t="s">
        <v>31</v>
      </c>
      <c r="Q55" s="6" t="s">
        <v>31</v>
      </c>
      <c r="R55" s="6" t="s">
        <v>31</v>
      </c>
      <c r="S55" s="6" t="s">
        <v>31</v>
      </c>
      <c r="T55" s="6" t="s">
        <v>31</v>
      </c>
      <c r="U55" s="6" t="s">
        <v>31</v>
      </c>
      <c r="V55" s="6" t="s">
        <v>31</v>
      </c>
      <c r="W55" s="6" t="s">
        <v>31</v>
      </c>
      <c r="X55" s="6"/>
      <c r="Y55" s="6"/>
    </row>
    <row r="56" customFormat="false" ht="15.75" hidden="false" customHeight="true" outlineLevel="0" collapsed="false">
      <c r="A56" s="5"/>
      <c r="B56" s="6"/>
      <c r="C56" s="6"/>
      <c r="D56" s="6"/>
      <c r="E56" s="6"/>
      <c r="F56" s="7"/>
      <c r="G56" s="7"/>
      <c r="H56" s="6"/>
      <c r="I56" s="6"/>
      <c r="J56" s="6" t="s">
        <v>47</v>
      </c>
      <c r="K56" s="6" t="s">
        <v>47</v>
      </c>
      <c r="L56" s="6" t="s">
        <v>47</v>
      </c>
      <c r="M56" s="6" t="s">
        <v>47</v>
      </c>
      <c r="N56" s="6" t="s">
        <v>47</v>
      </c>
      <c r="O56" s="6" t="s">
        <v>47</v>
      </c>
      <c r="P56" s="6"/>
      <c r="Q56" s="6"/>
      <c r="R56" s="6"/>
      <c r="S56" s="6"/>
      <c r="T56" s="6"/>
      <c r="U56" s="6"/>
      <c r="V56" s="6"/>
      <c r="W56" s="6"/>
      <c r="X56" s="6"/>
      <c r="Y56" s="6"/>
    </row>
    <row r="57" customFormat="false" ht="15.75" hidden="false" customHeight="true" outlineLevel="0" collapsed="false">
      <c r="A57" s="5"/>
      <c r="B57" s="6"/>
      <c r="C57" s="6"/>
      <c r="D57" s="6"/>
      <c r="E57" s="6"/>
      <c r="F57" s="7"/>
      <c r="G57" s="7"/>
      <c r="H57" s="6" t="s">
        <v>38</v>
      </c>
      <c r="I57" s="6" t="s">
        <v>38</v>
      </c>
      <c r="J57" s="6" t="s">
        <v>38</v>
      </c>
      <c r="K57" s="6" t="s">
        <v>38</v>
      </c>
      <c r="L57" s="6"/>
      <c r="M57" s="6" t="s">
        <v>58</v>
      </c>
      <c r="N57" s="6" t="s">
        <v>58</v>
      </c>
      <c r="O57" s="6" t="s">
        <v>58</v>
      </c>
      <c r="P57" s="6" t="s">
        <v>58</v>
      </c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5.75" hidden="false" customHeight="true" outlineLevel="0" collapsed="false">
      <c r="A58" s="5"/>
      <c r="B58" s="6"/>
      <c r="C58" s="6"/>
      <c r="D58" s="6"/>
      <c r="E58" s="6"/>
      <c r="F58" s="7"/>
      <c r="G58" s="7"/>
      <c r="H58" s="6" t="s">
        <v>70</v>
      </c>
      <c r="I58" s="6" t="s">
        <v>70</v>
      </c>
      <c r="J58" s="6" t="s">
        <v>70</v>
      </c>
      <c r="K58" s="6" t="s">
        <v>70</v>
      </c>
      <c r="L58" s="6" t="s">
        <v>70</v>
      </c>
      <c r="M58" s="6" t="s">
        <v>70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5.75" hidden="false" customHeight="true" outlineLevel="0" collapsed="false">
      <c r="A59" s="5"/>
      <c r="B59" s="6"/>
      <c r="C59" s="6"/>
      <c r="D59" s="6"/>
      <c r="E59" s="6"/>
      <c r="F59" s="7"/>
      <c r="G59" s="7"/>
      <c r="H59" s="6" t="s">
        <v>49</v>
      </c>
      <c r="I59" s="6" t="s">
        <v>49</v>
      </c>
      <c r="J59" s="6" t="s">
        <v>49</v>
      </c>
      <c r="K59" s="6" t="s">
        <v>49</v>
      </c>
      <c r="L59" s="6" t="s">
        <v>49</v>
      </c>
      <c r="M59" s="6" t="s">
        <v>49</v>
      </c>
      <c r="N59" s="6" t="s">
        <v>49</v>
      </c>
      <c r="O59" s="6" t="s">
        <v>49</v>
      </c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Format="false" ht="15.75" hidden="false" customHeight="true" outlineLevel="0" collapsed="false">
      <c r="A60" s="5"/>
      <c r="B60" s="6"/>
      <c r="C60" s="6"/>
      <c r="D60" s="6"/>
      <c r="E60" s="6"/>
      <c r="F60" s="7"/>
      <c r="G60" s="7"/>
      <c r="H60" s="6" t="s">
        <v>67</v>
      </c>
      <c r="I60" s="6" t="s">
        <v>67</v>
      </c>
      <c r="J60" s="6" t="s">
        <v>67</v>
      </c>
      <c r="K60" s="6" t="s">
        <v>67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5.75" hidden="false" customHeight="true" outlineLevel="0" collapsed="false">
      <c r="A61" s="5"/>
      <c r="B61" s="6"/>
      <c r="C61" s="6"/>
      <c r="D61" s="6"/>
      <c r="E61" s="6"/>
      <c r="F61" s="7"/>
      <c r="G61" s="7"/>
      <c r="H61" s="6" t="s">
        <v>51</v>
      </c>
      <c r="I61" s="6" t="s">
        <v>51</v>
      </c>
      <c r="J61" s="6" t="s">
        <v>51</v>
      </c>
      <c r="K61" s="6" t="s">
        <v>51</v>
      </c>
      <c r="L61" s="6" t="s">
        <v>51</v>
      </c>
      <c r="M61" s="6" t="s">
        <v>51</v>
      </c>
      <c r="N61" s="6" t="s">
        <v>51</v>
      </c>
      <c r="O61" s="6" t="s">
        <v>51</v>
      </c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5.75" hidden="false" customHeight="true" outlineLevel="0" collapsed="false">
      <c r="A62" s="5"/>
      <c r="B62" s="6"/>
      <c r="C62" s="6"/>
      <c r="D62" s="6"/>
      <c r="E62" s="6"/>
      <c r="F62" s="7"/>
      <c r="G62" s="7"/>
      <c r="H62" s="6" t="s">
        <v>55</v>
      </c>
      <c r="I62" s="6" t="s">
        <v>55</v>
      </c>
      <c r="J62" s="6" t="s">
        <v>55</v>
      </c>
      <c r="K62" s="6" t="s">
        <v>55</v>
      </c>
      <c r="L62" s="6" t="s">
        <v>55</v>
      </c>
      <c r="M62" s="6" t="s">
        <v>55</v>
      </c>
      <c r="N62" s="6" t="s">
        <v>55</v>
      </c>
      <c r="O62" s="6" t="s">
        <v>55</v>
      </c>
      <c r="P62" s="6" t="s">
        <v>55</v>
      </c>
      <c r="Q62" s="6" t="s">
        <v>55</v>
      </c>
      <c r="R62" s="6" t="s">
        <v>55</v>
      </c>
      <c r="S62" s="6"/>
      <c r="T62" s="6"/>
      <c r="U62" s="6"/>
      <c r="V62" s="6"/>
      <c r="W62" s="6"/>
      <c r="X62" s="6"/>
      <c r="Y62" s="6"/>
    </row>
    <row r="63" customFormat="false" ht="15.75" hidden="false" customHeight="true" outlineLevel="0" collapsed="false">
      <c r="A63" s="5"/>
      <c r="B63" s="6"/>
      <c r="C63" s="6"/>
      <c r="D63" s="6"/>
      <c r="E63" s="6"/>
      <c r="F63" s="7"/>
      <c r="G63" s="7"/>
      <c r="H63" s="6" t="s">
        <v>60</v>
      </c>
      <c r="I63" s="6" t="s">
        <v>60</v>
      </c>
      <c r="J63" s="6" t="s">
        <v>60</v>
      </c>
      <c r="K63" s="6" t="s">
        <v>60</v>
      </c>
      <c r="L63" s="6" t="s">
        <v>60</v>
      </c>
      <c r="M63" s="6" t="s">
        <v>60</v>
      </c>
      <c r="N63" s="6" t="s">
        <v>60</v>
      </c>
      <c r="O63" s="6" t="s">
        <v>60</v>
      </c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5.75" hidden="false" customHeight="true" outlineLevel="0" collapsed="false">
      <c r="A64" s="5"/>
      <c r="B64" s="6"/>
      <c r="C64" s="6"/>
      <c r="D64" s="6"/>
      <c r="E64" s="6"/>
      <c r="F64" s="7"/>
      <c r="G64" s="7"/>
      <c r="H64" s="6" t="s">
        <v>61</v>
      </c>
      <c r="I64" s="6" t="s">
        <v>61</v>
      </c>
      <c r="J64" s="6" t="s">
        <v>61</v>
      </c>
      <c r="K64" s="6" t="s">
        <v>61</v>
      </c>
      <c r="L64" s="6" t="s">
        <v>61</v>
      </c>
      <c r="M64" s="6" t="s">
        <v>61</v>
      </c>
      <c r="N64" s="6" t="s">
        <v>61</v>
      </c>
      <c r="O64" s="6" t="s">
        <v>61</v>
      </c>
      <c r="P64" s="6" t="s">
        <v>61</v>
      </c>
      <c r="Q64" s="6" t="s">
        <v>61</v>
      </c>
      <c r="R64" s="6" t="s">
        <v>61</v>
      </c>
      <c r="S64" s="6"/>
      <c r="T64" s="6"/>
      <c r="U64" s="6"/>
      <c r="V64" s="6"/>
      <c r="W64" s="6"/>
      <c r="X64" s="6"/>
      <c r="Y64" s="6"/>
    </row>
    <row r="65" customFormat="false" ht="15.75" hidden="false" customHeight="true" outlineLevel="0" collapsed="false">
      <c r="A65" s="5"/>
      <c r="B65" s="6"/>
      <c r="C65" s="6"/>
      <c r="D65" s="6"/>
      <c r="E65" s="6"/>
      <c r="F65" s="7"/>
      <c r="G65" s="7"/>
      <c r="H65" s="6"/>
      <c r="I65" s="6" t="s">
        <v>62</v>
      </c>
      <c r="J65" s="6" t="s">
        <v>62</v>
      </c>
      <c r="K65" s="6" t="s">
        <v>62</v>
      </c>
      <c r="L65" s="6" t="s">
        <v>62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5.75" hidden="false" customHeight="true" outlineLevel="0" collapsed="false">
      <c r="A66" s="5"/>
      <c r="B66" s="6"/>
      <c r="C66" s="6"/>
      <c r="D66" s="6"/>
      <c r="E66" s="6"/>
      <c r="F66" s="7"/>
      <c r="G66" s="7"/>
      <c r="H66" s="6" t="s">
        <v>63</v>
      </c>
      <c r="I66" s="6" t="s">
        <v>63</v>
      </c>
      <c r="J66" s="6" t="s">
        <v>63</v>
      </c>
      <c r="K66" s="6" t="s">
        <v>63</v>
      </c>
      <c r="L66" s="6" t="s">
        <v>63</v>
      </c>
      <c r="M66" s="6" t="s">
        <v>63</v>
      </c>
      <c r="N66" s="6" t="s">
        <v>63</v>
      </c>
      <c r="O66" s="6" t="s">
        <v>63</v>
      </c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5.75" hidden="false" customHeight="true" outlineLevel="0" collapsed="false">
      <c r="A67" s="5"/>
      <c r="B67" s="6"/>
      <c r="C67" s="6"/>
      <c r="D67" s="6"/>
      <c r="E67" s="6" t="s">
        <v>65</v>
      </c>
      <c r="F67" s="6" t="s">
        <v>65</v>
      </c>
      <c r="G67" s="6" t="s">
        <v>65</v>
      </c>
      <c r="H67" s="6" t="s">
        <v>65</v>
      </c>
      <c r="I67" s="6" t="s">
        <v>65</v>
      </c>
      <c r="J67" s="6" t="s">
        <v>65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5.75" hidden="false" customHeight="true" outlineLevel="0" collapsed="false">
      <c r="A68" s="5"/>
      <c r="B68" s="6"/>
      <c r="C68" s="6"/>
      <c r="D68" s="6"/>
      <c r="E68" s="6"/>
      <c r="F68" s="6"/>
      <c r="G68" s="6"/>
      <c r="H68" s="6" t="s">
        <v>57</v>
      </c>
      <c r="I68" s="6" t="s">
        <v>57</v>
      </c>
      <c r="J68" s="6" t="s">
        <v>57</v>
      </c>
      <c r="K68" s="6" t="s">
        <v>57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5.75" hidden="false" customHeight="true" outlineLevel="0" collapsed="false">
      <c r="A69" s="13"/>
      <c r="B69" s="6"/>
      <c r="C69" s="6"/>
      <c r="D69" s="6"/>
      <c r="E69" s="6"/>
      <c r="F69" s="6"/>
      <c r="G69" s="6"/>
      <c r="H69" s="6" t="s">
        <v>64</v>
      </c>
      <c r="I69" s="6" t="s">
        <v>64</v>
      </c>
      <c r="J69" s="6" t="s">
        <v>64</v>
      </c>
      <c r="K69" s="6" t="s">
        <v>64</v>
      </c>
      <c r="L69" s="6" t="s">
        <v>64</v>
      </c>
      <c r="M69" s="6" t="s">
        <v>64</v>
      </c>
      <c r="N69" s="6" t="s">
        <v>64</v>
      </c>
      <c r="O69" s="6" t="s">
        <v>64</v>
      </c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8" hidden="false" customHeight="true" outlineLevel="0" collapsed="false">
      <c r="A70" s="12"/>
      <c r="B70" s="6" t="n">
        <f aca="false">COUNTA(B48:B68)</f>
        <v>4</v>
      </c>
      <c r="C70" s="6" t="n">
        <f aca="false">COUNTA(C48:C68)</f>
        <v>4</v>
      </c>
      <c r="D70" s="6" t="n">
        <f aca="false">COUNTA(D48:D68)</f>
        <v>4</v>
      </c>
      <c r="E70" s="6" t="n">
        <f aca="false">COUNTA(E48:E68)</f>
        <v>2</v>
      </c>
      <c r="F70" s="6" t="n">
        <f aca="false">COUNTA(F48:F68)</f>
        <v>2</v>
      </c>
      <c r="G70" s="6" t="n">
        <f aca="false">COUNTA(G48:G68)</f>
        <v>1</v>
      </c>
      <c r="H70" s="6" t="n">
        <f aca="false">COUNTA(H48:H69)</f>
        <v>19</v>
      </c>
      <c r="I70" s="6" t="n">
        <f aca="false">COUNTA(I48:I68)</f>
        <v>19</v>
      </c>
      <c r="J70" s="6" t="n">
        <f aca="false">COUNTA(J48:J68)</f>
        <v>21</v>
      </c>
      <c r="K70" s="6" t="n">
        <f aca="false">COUNTA(K48:K68)</f>
        <v>20</v>
      </c>
      <c r="L70" s="6" t="n">
        <f aca="false">COUNTA(L48:L68)</f>
        <v>17</v>
      </c>
      <c r="M70" s="6" t="n">
        <f aca="false">COUNTA(M48:M68)</f>
        <v>17</v>
      </c>
      <c r="N70" s="6" t="n">
        <f aca="false">COUNTA(N48:N68)</f>
        <v>14</v>
      </c>
      <c r="O70" s="6" t="n">
        <f aca="false">COUNTA(O48:O68)</f>
        <v>14</v>
      </c>
      <c r="P70" s="6" t="n">
        <f aca="false">COUNTA(P48:P68)</f>
        <v>9</v>
      </c>
      <c r="Q70" s="6" t="n">
        <f aca="false">COUNTA(Q48:Q68)</f>
        <v>8</v>
      </c>
      <c r="R70" s="6" t="n">
        <f aca="false">COUNTA(R48:R68)</f>
        <v>9</v>
      </c>
      <c r="S70" s="6" t="n">
        <f aca="false">COUNTA(S48:S68)</f>
        <v>6</v>
      </c>
      <c r="T70" s="6" t="n">
        <f aca="false">COUNTA(T48:T68)</f>
        <v>6</v>
      </c>
      <c r="U70" s="6" t="n">
        <f aca="false">COUNTA(U48:U68)</f>
        <v>7</v>
      </c>
      <c r="V70" s="6" t="n">
        <f aca="false">COUNTA(V48:V68)</f>
        <v>5</v>
      </c>
      <c r="W70" s="6" t="n">
        <f aca="false">COUNTA(W48:W68)</f>
        <v>4</v>
      </c>
      <c r="X70" s="6" t="n">
        <f aca="false">COUNTA(X48:X68)</f>
        <v>2</v>
      </c>
      <c r="Y70" s="6" t="n">
        <f aca="false">COUNTA(Y48:Y68)</f>
        <v>1</v>
      </c>
    </row>
    <row r="71" customFormat="false" ht="15.75" hidden="false" customHeight="true" outlineLevel="0" collapsed="false">
      <c r="A71" s="11" t="s">
        <v>75</v>
      </c>
      <c r="B71" s="6" t="s">
        <v>25</v>
      </c>
      <c r="C71" s="6" t="s">
        <v>25</v>
      </c>
      <c r="D71" s="6" t="s">
        <v>25</v>
      </c>
      <c r="E71" s="6" t="s">
        <v>25</v>
      </c>
      <c r="F71" s="6" t="s">
        <v>25</v>
      </c>
      <c r="G71" s="6" t="s">
        <v>25</v>
      </c>
      <c r="H71" s="6" t="s">
        <v>25</v>
      </c>
      <c r="I71" s="6"/>
      <c r="J71" s="6"/>
      <c r="K71" s="6" t="s">
        <v>50</v>
      </c>
      <c r="L71" s="6" t="s">
        <v>50</v>
      </c>
      <c r="M71" s="6" t="s">
        <v>50</v>
      </c>
      <c r="N71" s="6" t="s">
        <v>50</v>
      </c>
      <c r="O71" s="6"/>
      <c r="P71" s="6" t="s">
        <v>33</v>
      </c>
      <c r="Q71" s="6" t="s">
        <v>33</v>
      </c>
      <c r="R71" s="6" t="s">
        <v>33</v>
      </c>
      <c r="S71" s="6" t="s">
        <v>33</v>
      </c>
      <c r="T71" s="6" t="s">
        <v>33</v>
      </c>
      <c r="U71" s="6" t="s">
        <v>33</v>
      </c>
      <c r="V71" s="6" t="s">
        <v>39</v>
      </c>
      <c r="W71" s="6" t="s">
        <v>39</v>
      </c>
      <c r="X71" s="6" t="s">
        <v>39</v>
      </c>
      <c r="Y71" s="6" t="s">
        <v>39</v>
      </c>
    </row>
    <row r="72" customFormat="false" ht="15.75" hidden="false" customHeight="true" outlineLevel="0" collapsed="false">
      <c r="A72" s="11"/>
      <c r="B72" s="6" t="s">
        <v>27</v>
      </c>
      <c r="C72" s="6" t="s">
        <v>27</v>
      </c>
      <c r="D72" s="6" t="s">
        <v>27</v>
      </c>
      <c r="E72" s="6" t="s">
        <v>27</v>
      </c>
      <c r="F72" s="6" t="s">
        <v>27</v>
      </c>
      <c r="G72" s="6" t="s">
        <v>27</v>
      </c>
      <c r="H72" s="6" t="s">
        <v>59</v>
      </c>
      <c r="I72" s="6" t="s">
        <v>59</v>
      </c>
      <c r="J72" s="6" t="s">
        <v>59</v>
      </c>
      <c r="K72" s="6" t="s">
        <v>59</v>
      </c>
      <c r="L72" s="6" t="s">
        <v>59</v>
      </c>
      <c r="M72" s="6" t="s">
        <v>59</v>
      </c>
      <c r="N72" s="6" t="s">
        <v>59</v>
      </c>
      <c r="O72" s="6" t="s">
        <v>59</v>
      </c>
      <c r="P72" s="6" t="s">
        <v>36</v>
      </c>
      <c r="Q72" s="6" t="s">
        <v>36</v>
      </c>
      <c r="R72" s="6" t="s">
        <v>36</v>
      </c>
      <c r="S72" s="6" t="s">
        <v>36</v>
      </c>
      <c r="T72" s="6" t="s">
        <v>36</v>
      </c>
      <c r="U72" s="6" t="s">
        <v>36</v>
      </c>
      <c r="V72" s="6"/>
      <c r="W72" s="6"/>
      <c r="X72" s="6"/>
      <c r="Y72" s="6"/>
    </row>
    <row r="73" customFormat="false" ht="15.75" hidden="false" customHeight="true" outlineLevel="0" collapsed="false">
      <c r="A73" s="11"/>
      <c r="B73" s="6"/>
      <c r="C73" s="6"/>
      <c r="D73" s="6"/>
      <c r="E73" s="6"/>
      <c r="F73" s="6"/>
      <c r="G73" s="6"/>
      <c r="H73" s="6" t="s">
        <v>30</v>
      </c>
      <c r="I73" s="6" t="s">
        <v>30</v>
      </c>
      <c r="J73" s="6" t="s">
        <v>30</v>
      </c>
      <c r="K73" s="6" t="s">
        <v>30</v>
      </c>
      <c r="L73" s="6"/>
      <c r="M73" s="6" t="s">
        <v>74</v>
      </c>
      <c r="N73" s="6" t="s">
        <v>74</v>
      </c>
      <c r="O73" s="6" t="s">
        <v>74</v>
      </c>
      <c r="P73" s="6" t="s">
        <v>74</v>
      </c>
      <c r="Q73" s="6" t="s">
        <v>74</v>
      </c>
      <c r="R73" s="6" t="s">
        <v>74</v>
      </c>
      <c r="S73" s="6" t="s">
        <v>74</v>
      </c>
      <c r="T73" s="6" t="s">
        <v>74</v>
      </c>
      <c r="U73" s="6"/>
      <c r="V73" s="6"/>
      <c r="W73" s="6"/>
      <c r="X73" s="6"/>
      <c r="Y73" s="6"/>
    </row>
    <row r="74" customFormat="false" ht="15.75" hidden="false" customHeight="true" outlineLevel="0" collapsed="false">
      <c r="A74" s="11"/>
      <c r="B74" s="6"/>
      <c r="C74" s="6"/>
      <c r="D74" s="6"/>
      <c r="E74" s="6"/>
      <c r="F74" s="6" t="s">
        <v>68</v>
      </c>
      <c r="G74" s="6" t="s">
        <v>68</v>
      </c>
      <c r="H74" s="6" t="s">
        <v>68</v>
      </c>
      <c r="I74" s="6" t="s">
        <v>68</v>
      </c>
      <c r="J74" s="6" t="s">
        <v>68</v>
      </c>
      <c r="K74" s="6"/>
      <c r="L74" s="6" t="s">
        <v>45</v>
      </c>
      <c r="M74" s="6" t="s">
        <v>45</v>
      </c>
      <c r="N74" s="6" t="s">
        <v>45</v>
      </c>
      <c r="O74" s="6" t="s">
        <v>68</v>
      </c>
      <c r="P74" s="6" t="s">
        <v>68</v>
      </c>
      <c r="Q74" s="6" t="s">
        <v>68</v>
      </c>
      <c r="R74" s="6" t="s">
        <v>68</v>
      </c>
      <c r="S74" s="6" t="s">
        <v>68</v>
      </c>
      <c r="T74" s="6" t="s">
        <v>68</v>
      </c>
      <c r="U74" s="6"/>
      <c r="V74" s="6"/>
      <c r="W74" s="6"/>
      <c r="X74" s="6"/>
      <c r="Y74" s="6"/>
    </row>
    <row r="75" customFormat="false" ht="15.75" hidden="false" customHeight="true" outlineLevel="0" collapsed="false">
      <c r="A75" s="11"/>
      <c r="B75" s="6" t="s">
        <v>34</v>
      </c>
      <c r="C75" s="6" t="s">
        <v>34</v>
      </c>
      <c r="D75" s="6" t="s">
        <v>34</v>
      </c>
      <c r="E75" s="6" t="s">
        <v>34</v>
      </c>
      <c r="F75" s="6" t="s">
        <v>34</v>
      </c>
      <c r="G75" s="6" t="s">
        <v>34</v>
      </c>
      <c r="H75" s="6" t="s">
        <v>35</v>
      </c>
      <c r="I75" s="6" t="s">
        <v>35</v>
      </c>
      <c r="J75" s="6" t="s">
        <v>35</v>
      </c>
      <c r="K75" s="6" t="s">
        <v>35</v>
      </c>
      <c r="L75" s="6" t="s">
        <v>35</v>
      </c>
      <c r="M75" s="6" t="s">
        <v>35</v>
      </c>
      <c r="N75" s="6" t="s">
        <v>41</v>
      </c>
      <c r="O75" s="6" t="s">
        <v>41</v>
      </c>
      <c r="P75" s="6" t="s">
        <v>41</v>
      </c>
      <c r="Q75" s="6" t="s">
        <v>41</v>
      </c>
      <c r="R75" s="6" t="s">
        <v>41</v>
      </c>
      <c r="S75" s="6" t="s">
        <v>41</v>
      </c>
      <c r="T75" s="6" t="s">
        <v>41</v>
      </c>
      <c r="U75" s="6" t="s">
        <v>41</v>
      </c>
      <c r="V75" s="6"/>
      <c r="W75" s="6"/>
      <c r="X75" s="6"/>
      <c r="Y75" s="6"/>
    </row>
    <row r="76" customFormat="false" ht="15.75" hidden="false" customHeight="true" outlineLevel="0" collapsed="false">
      <c r="A76" s="11"/>
      <c r="B76" s="6"/>
      <c r="C76" s="6"/>
      <c r="D76" s="6" t="s">
        <v>67</v>
      </c>
      <c r="E76" s="6" t="s">
        <v>67</v>
      </c>
      <c r="F76" s="6" t="s">
        <v>67</v>
      </c>
      <c r="G76" s="6" t="s">
        <v>67</v>
      </c>
      <c r="H76" s="6" t="s">
        <v>47</v>
      </c>
      <c r="I76" s="6" t="s">
        <v>47</v>
      </c>
      <c r="J76" s="6" t="s">
        <v>47</v>
      </c>
      <c r="K76" s="6" t="s">
        <v>47</v>
      </c>
      <c r="L76" s="6" t="s">
        <v>47</v>
      </c>
      <c r="M76" s="6"/>
      <c r="N76" s="6" t="s">
        <v>46</v>
      </c>
      <c r="O76" s="6" t="s">
        <v>46</v>
      </c>
      <c r="P76" s="6" t="s">
        <v>46</v>
      </c>
      <c r="Q76" s="6" t="s">
        <v>46</v>
      </c>
      <c r="R76" s="6" t="s">
        <v>46</v>
      </c>
      <c r="S76" s="6" t="s">
        <v>46</v>
      </c>
      <c r="T76" s="6" t="s">
        <v>46</v>
      </c>
      <c r="U76" s="6" t="s">
        <v>46</v>
      </c>
      <c r="V76" s="6"/>
      <c r="W76" s="6"/>
      <c r="X76" s="6"/>
      <c r="Y76" s="6"/>
    </row>
    <row r="77" customFormat="false" ht="15.75" hidden="false" customHeight="true" outlineLevel="0" collapsed="false">
      <c r="A77" s="11"/>
      <c r="B77" s="6"/>
      <c r="C77" s="6"/>
      <c r="D77" s="6"/>
      <c r="E77" s="6"/>
      <c r="F77" s="6" t="s">
        <v>71</v>
      </c>
      <c r="G77" s="6" t="s">
        <v>71</v>
      </c>
      <c r="H77" s="6" t="s">
        <v>71</v>
      </c>
      <c r="I77" s="6" t="s">
        <v>71</v>
      </c>
      <c r="J77" s="6" t="s">
        <v>71</v>
      </c>
      <c r="K77" s="6" t="s">
        <v>71</v>
      </c>
      <c r="L77" s="6" t="s">
        <v>71</v>
      </c>
      <c r="M77" s="6" t="s">
        <v>71</v>
      </c>
      <c r="N77" s="6"/>
      <c r="O77" s="6"/>
      <c r="P77" s="6"/>
      <c r="Q77" s="6"/>
      <c r="R77" s="6"/>
      <c r="S77" s="6"/>
      <c r="T77" s="6" t="s">
        <v>37</v>
      </c>
      <c r="U77" s="6" t="s">
        <v>37</v>
      </c>
      <c r="V77" s="6" t="s">
        <v>37</v>
      </c>
      <c r="W77" s="6" t="s">
        <v>37</v>
      </c>
      <c r="X77" s="6" t="s">
        <v>37</v>
      </c>
      <c r="Y77" s="6" t="s">
        <v>37</v>
      </c>
    </row>
    <row r="78" customFormat="false" ht="15.75" hidden="false" customHeight="true" outlineLevel="0" collapsed="false">
      <c r="A78" s="11"/>
      <c r="B78" s="6"/>
      <c r="C78" s="6"/>
      <c r="D78" s="6"/>
      <c r="E78" s="6"/>
      <c r="F78" s="6" t="s">
        <v>70</v>
      </c>
      <c r="G78" s="6" t="s">
        <v>70</v>
      </c>
      <c r="H78" s="6" t="s">
        <v>70</v>
      </c>
      <c r="I78" s="6" t="s">
        <v>70</v>
      </c>
      <c r="J78" s="6" t="s">
        <v>70</v>
      </c>
      <c r="K78" s="6" t="s">
        <v>70</v>
      </c>
      <c r="L78" s="6" t="s">
        <v>70</v>
      </c>
      <c r="M78" s="6" t="s">
        <v>70</v>
      </c>
      <c r="N78" s="6" t="s">
        <v>38</v>
      </c>
      <c r="O78" s="6" t="s">
        <v>38</v>
      </c>
      <c r="P78" s="6" t="s">
        <v>38</v>
      </c>
      <c r="Q78" s="6" t="s">
        <v>38</v>
      </c>
      <c r="R78" s="6" t="s">
        <v>38</v>
      </c>
      <c r="S78" s="6" t="s">
        <v>38</v>
      </c>
      <c r="T78" s="6" t="s">
        <v>38</v>
      </c>
      <c r="U78" s="6"/>
      <c r="V78" s="6"/>
      <c r="W78" s="6"/>
      <c r="X78" s="6"/>
      <c r="Y78" s="6"/>
    </row>
    <row r="79" customFormat="false" ht="15.75" hidden="false" customHeight="true" outlineLevel="0" collapsed="false">
      <c r="A79" s="11"/>
      <c r="B79" s="6"/>
      <c r="C79" s="6"/>
      <c r="D79" s="6"/>
      <c r="E79" s="6" t="s">
        <v>65</v>
      </c>
      <c r="F79" s="6" t="s">
        <v>65</v>
      </c>
      <c r="G79" s="6" t="s">
        <v>65</v>
      </c>
      <c r="H79" s="6" t="s">
        <v>65</v>
      </c>
      <c r="I79" s="6"/>
      <c r="J79" s="6"/>
      <c r="K79" s="6"/>
      <c r="L79" s="6"/>
      <c r="M79" s="6" t="s">
        <v>52</v>
      </c>
      <c r="N79" s="6" t="s">
        <v>52</v>
      </c>
      <c r="O79" s="6" t="s">
        <v>52</v>
      </c>
      <c r="P79" s="6" t="s">
        <v>52</v>
      </c>
      <c r="Q79" s="6" t="s">
        <v>52</v>
      </c>
      <c r="R79" s="6" t="s">
        <v>48</v>
      </c>
      <c r="S79" s="6" t="s">
        <v>48</v>
      </c>
      <c r="T79" s="6" t="s">
        <v>48</v>
      </c>
      <c r="U79" s="6" t="s">
        <v>48</v>
      </c>
      <c r="V79" s="6" t="s">
        <v>48</v>
      </c>
      <c r="W79" s="6" t="s">
        <v>48</v>
      </c>
      <c r="X79" s="6" t="s">
        <v>48</v>
      </c>
      <c r="Y79" s="6" t="s">
        <v>48</v>
      </c>
    </row>
    <row r="80" customFormat="false" ht="15.75" hidden="false" customHeight="true" outlineLevel="0" collapsed="false">
      <c r="A80" s="11"/>
      <c r="B80" s="6"/>
      <c r="C80" s="6"/>
      <c r="D80" s="6"/>
      <c r="E80" s="6"/>
      <c r="F80" s="6"/>
      <c r="G80" s="6"/>
      <c r="H80" s="6"/>
      <c r="I80" s="6"/>
      <c r="J80" s="6" t="s">
        <v>58</v>
      </c>
      <c r="K80" s="6" t="s">
        <v>58</v>
      </c>
      <c r="L80" s="6" t="s">
        <v>58</v>
      </c>
      <c r="M80" s="6" t="s">
        <v>58</v>
      </c>
      <c r="N80" s="6" t="s">
        <v>58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5.75" hidden="false" customHeight="true" outlineLevel="0" collapsed="false">
      <c r="A81" s="11"/>
      <c r="B81" s="6"/>
      <c r="C81" s="6"/>
      <c r="D81" s="6"/>
      <c r="E81" s="6"/>
      <c r="F81" s="6" t="s">
        <v>60</v>
      </c>
      <c r="G81" s="6" t="s">
        <v>60</v>
      </c>
      <c r="H81" s="6" t="s">
        <v>60</v>
      </c>
      <c r="I81" s="6" t="s">
        <v>60</v>
      </c>
      <c r="J81" s="6" t="s">
        <v>60</v>
      </c>
      <c r="K81" s="6" t="s">
        <v>60</v>
      </c>
      <c r="L81" s="6"/>
      <c r="M81" s="6"/>
      <c r="N81" s="6"/>
      <c r="O81" s="6"/>
      <c r="P81" s="6" t="s">
        <v>62</v>
      </c>
      <c r="Q81" s="6" t="s">
        <v>62</v>
      </c>
      <c r="R81" s="6" t="s">
        <v>62</v>
      </c>
      <c r="S81" s="6" t="s">
        <v>62</v>
      </c>
      <c r="T81" s="6" t="s">
        <v>62</v>
      </c>
      <c r="U81" s="6" t="s">
        <v>62</v>
      </c>
      <c r="V81" s="6" t="s">
        <v>62</v>
      </c>
      <c r="W81" s="6" t="s">
        <v>62</v>
      </c>
      <c r="X81" s="6"/>
      <c r="Y81" s="6"/>
    </row>
    <row r="82" customFormat="false" ht="15.75" hidden="false" customHeight="true" outlineLevel="0" collapsed="false">
      <c r="A82" s="1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 t="s">
        <v>69</v>
      </c>
      <c r="O82" s="6" t="s">
        <v>69</v>
      </c>
      <c r="P82" s="6" t="s">
        <v>69</v>
      </c>
      <c r="Q82" s="6" t="s">
        <v>69</v>
      </c>
      <c r="R82" s="6" t="s">
        <v>69</v>
      </c>
      <c r="S82" s="6" t="s">
        <v>69</v>
      </c>
      <c r="T82" s="6" t="s">
        <v>69</v>
      </c>
      <c r="U82" s="6" t="s">
        <v>69</v>
      </c>
      <c r="V82" s="6" t="s">
        <v>69</v>
      </c>
      <c r="W82" s="6"/>
      <c r="X82" s="6"/>
      <c r="Y82" s="6"/>
    </row>
    <row r="83" customFormat="false" ht="15.75" hidden="false" customHeight="true" outlineLevel="0" collapsed="false">
      <c r="A83" s="11"/>
      <c r="B83" s="6"/>
      <c r="C83" s="6"/>
      <c r="D83" s="6" t="s">
        <v>72</v>
      </c>
      <c r="E83" s="6" t="s">
        <v>72</v>
      </c>
      <c r="F83" s="6" t="s">
        <v>72</v>
      </c>
      <c r="G83" s="6" t="s">
        <v>72</v>
      </c>
      <c r="H83" s="6" t="s">
        <v>72</v>
      </c>
      <c r="I83" s="6" t="s">
        <v>72</v>
      </c>
      <c r="J83" s="6" t="s">
        <v>72</v>
      </c>
      <c r="K83" s="6"/>
      <c r="L83" s="6"/>
      <c r="M83" s="6"/>
      <c r="N83" s="6"/>
      <c r="O83" s="6"/>
      <c r="P83" s="6"/>
      <c r="Q83" s="6" t="s">
        <v>56</v>
      </c>
      <c r="R83" s="6" t="s">
        <v>56</v>
      </c>
      <c r="S83" s="6" t="s">
        <v>56</v>
      </c>
      <c r="T83" s="6" t="s">
        <v>56</v>
      </c>
      <c r="U83" s="6" t="s">
        <v>56</v>
      </c>
      <c r="V83" s="6"/>
      <c r="W83" s="6"/>
      <c r="X83" s="6"/>
      <c r="Y83" s="6"/>
    </row>
    <row r="84" customFormat="false" ht="15.75" hidden="false" customHeight="true" outlineLevel="0" collapsed="false">
      <c r="A84" s="11"/>
      <c r="B84" s="6"/>
      <c r="C84" s="6"/>
      <c r="D84" s="6"/>
      <c r="E84" s="6"/>
      <c r="F84" s="6"/>
      <c r="G84" s="6"/>
      <c r="H84" s="6"/>
      <c r="I84" s="6"/>
      <c r="J84" s="6"/>
      <c r="K84" s="6" t="s">
        <v>42</v>
      </c>
      <c r="L84" s="6" t="s">
        <v>42</v>
      </c>
      <c r="M84" s="6" t="s">
        <v>42</v>
      </c>
      <c r="N84" s="6" t="s">
        <v>42</v>
      </c>
      <c r="O84" s="6" t="s">
        <v>42</v>
      </c>
      <c r="P84" s="6" t="s">
        <v>42</v>
      </c>
      <c r="Q84" s="6" t="s">
        <v>42</v>
      </c>
      <c r="R84" s="6" t="s">
        <v>42</v>
      </c>
      <c r="S84" s="6"/>
      <c r="T84" s="6"/>
      <c r="U84" s="6"/>
      <c r="V84" s="6"/>
      <c r="W84" s="6"/>
      <c r="X84" s="6"/>
      <c r="Y84" s="6"/>
    </row>
    <row r="85" customFormat="false" ht="15.75" hidden="false" customHeight="true" outlineLevel="0" collapsed="false">
      <c r="A85" s="11"/>
      <c r="B85" s="6"/>
      <c r="C85" s="6"/>
      <c r="D85" s="6"/>
      <c r="E85" s="6"/>
      <c r="F85" s="6" t="s">
        <v>54</v>
      </c>
      <c r="G85" s="6" t="s">
        <v>54</v>
      </c>
      <c r="H85" s="6" t="s">
        <v>54</v>
      </c>
      <c r="I85" s="6" t="s">
        <v>54</v>
      </c>
      <c r="J85" s="6" t="s">
        <v>54</v>
      </c>
      <c r="K85" s="6" t="s">
        <v>54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5.75" hidden="false" customHeight="true" outlineLevel="0" collapsed="false">
      <c r="A86" s="11"/>
      <c r="B86" s="6"/>
      <c r="C86" s="6"/>
      <c r="D86" s="6"/>
      <c r="E86" s="6"/>
      <c r="F86" s="6"/>
      <c r="G86" s="6"/>
      <c r="H86" s="6" t="s">
        <v>57</v>
      </c>
      <c r="I86" s="6" t="s">
        <v>57</v>
      </c>
      <c r="J86" s="6" t="s">
        <v>57</v>
      </c>
      <c r="K86" s="6" t="s">
        <v>57</v>
      </c>
      <c r="L86" s="6" t="s">
        <v>57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5.75" hidden="false" customHeight="true" outlineLevel="0" collapsed="false">
      <c r="A87" s="1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5.75" hidden="false" customHeight="true" outlineLevel="0" collapsed="false">
      <c r="A88" s="1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5.75" hidden="false" customHeight="true" outlineLevel="0" collapsed="false">
      <c r="A89" s="1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5.75" hidden="false" customHeight="true" outlineLevel="0" collapsed="false">
      <c r="A90" s="1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6.5" hidden="false" customHeight="true" outlineLevel="0" collapsed="false">
      <c r="A91" s="12"/>
      <c r="B91" s="6" t="n">
        <f aca="false">COUNTA(B71:B90)</f>
        <v>3</v>
      </c>
      <c r="C91" s="6" t="n">
        <f aca="false">COUNTA(C71:C90)</f>
        <v>3</v>
      </c>
      <c r="D91" s="6" t="n">
        <f aca="false">COUNTA(D71:D90)</f>
        <v>5</v>
      </c>
      <c r="E91" s="6" t="n">
        <f aca="false">COUNTA(E71:E90)</f>
        <v>6</v>
      </c>
      <c r="F91" s="6" t="n">
        <f aca="false">COUNTA(F71:F90)</f>
        <v>11</v>
      </c>
      <c r="G91" s="6" t="n">
        <f aca="false">COUNTA(G71:G90)</f>
        <v>11</v>
      </c>
      <c r="H91" s="6" t="n">
        <f aca="false">COUNTA(H71:H90)</f>
        <v>13</v>
      </c>
      <c r="I91" s="6" t="n">
        <f aca="false">COUNTA(I71:I90)</f>
        <v>11</v>
      </c>
      <c r="J91" s="6" t="n">
        <f aca="false">COUNTA(J71:J90)</f>
        <v>12</v>
      </c>
      <c r="K91" s="6" t="n">
        <f aca="false">COUNTA(K71:K90)</f>
        <v>12</v>
      </c>
      <c r="L91" s="6" t="n">
        <f aca="false">COUNTA(L71:L90)</f>
        <v>10</v>
      </c>
      <c r="M91" s="6" t="n">
        <f aca="false">COUNTA(M71:M90)</f>
        <v>10</v>
      </c>
      <c r="N91" s="6" t="n">
        <f aca="false">COUNTA(N71:N90)</f>
        <v>11</v>
      </c>
      <c r="O91" s="6" t="n">
        <f aca="false">COUNTA(O71:O90)</f>
        <v>9</v>
      </c>
      <c r="P91" s="6" t="n">
        <f aca="false">COUNTA(P71:P90)</f>
        <v>11</v>
      </c>
      <c r="Q91" s="6" t="n">
        <f aca="false">COUNTA(Q71:Q90)</f>
        <v>12</v>
      </c>
      <c r="R91" s="6" t="n">
        <f aca="false">COUNTA(R72:R90)</f>
        <v>11</v>
      </c>
      <c r="S91" s="6" t="n">
        <f aca="false">COUNTA(S72:S90)</f>
        <v>10</v>
      </c>
      <c r="T91" s="6" t="n">
        <f aca="false">COUNTA(T72:T90)</f>
        <v>11</v>
      </c>
      <c r="U91" s="6" t="n">
        <f aca="false">COUNTA(U72:U90)</f>
        <v>8</v>
      </c>
      <c r="V91" s="6" t="n">
        <f aca="false">COUNTA(V72:V90)</f>
        <v>4</v>
      </c>
      <c r="W91" s="6" t="n">
        <f aca="false">COUNTA(W72:W90)</f>
        <v>3</v>
      </c>
      <c r="X91" s="6" t="n">
        <f aca="false">COUNTA(X72:X90)</f>
        <v>2</v>
      </c>
      <c r="Y91" s="6" t="n">
        <f aca="false">COUNTA(Y72:Y90)</f>
        <v>2</v>
      </c>
    </row>
    <row r="92" customFormat="false" ht="15.75" hidden="false" customHeight="true" outlineLevel="0" collapsed="false">
      <c r="A92" s="5" t="s">
        <v>76</v>
      </c>
      <c r="B92" s="6" t="s">
        <v>25</v>
      </c>
      <c r="C92" s="6" t="s">
        <v>25</v>
      </c>
      <c r="D92" s="6" t="s">
        <v>25</v>
      </c>
      <c r="E92" s="6"/>
      <c r="F92" s="7"/>
      <c r="G92" s="7"/>
      <c r="H92" s="7"/>
      <c r="I92" s="7"/>
      <c r="J92" s="14"/>
      <c r="K92" s="7"/>
      <c r="L92" s="6" t="s">
        <v>31</v>
      </c>
      <c r="M92" s="6" t="s">
        <v>31</v>
      </c>
      <c r="N92" s="6" t="s">
        <v>31</v>
      </c>
      <c r="O92" s="6" t="s">
        <v>31</v>
      </c>
      <c r="P92" s="6" t="s">
        <v>31</v>
      </c>
      <c r="Q92" s="6" t="s">
        <v>31</v>
      </c>
      <c r="R92" s="6" t="s">
        <v>37</v>
      </c>
      <c r="S92" s="6" t="s">
        <v>37</v>
      </c>
      <c r="T92" s="6" t="s">
        <v>37</v>
      </c>
      <c r="U92" s="6" t="s">
        <v>37</v>
      </c>
      <c r="V92" s="6" t="s">
        <v>37</v>
      </c>
      <c r="W92" s="6" t="s">
        <v>37</v>
      </c>
      <c r="X92" s="6" t="s">
        <v>37</v>
      </c>
      <c r="Y92" s="6" t="s">
        <v>37</v>
      </c>
    </row>
    <row r="93" customFormat="false" ht="15.75" hidden="false" customHeight="true" outlineLevel="0" collapsed="false">
      <c r="A93" s="5"/>
      <c r="B93" s="6" t="s">
        <v>27</v>
      </c>
      <c r="C93" s="6" t="s">
        <v>27</v>
      </c>
      <c r="D93" s="6" t="s">
        <v>27</v>
      </c>
      <c r="E93" s="6"/>
      <c r="F93" s="8" t="s">
        <v>29</v>
      </c>
      <c r="G93" s="7"/>
      <c r="H93" s="8" t="s">
        <v>77</v>
      </c>
      <c r="I93" s="7"/>
      <c r="J93" s="8" t="s">
        <v>78</v>
      </c>
      <c r="K93" s="7"/>
      <c r="L93" s="6"/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/>
      <c r="V93" s="6"/>
      <c r="W93" s="6"/>
      <c r="X93" s="6"/>
      <c r="Y93" s="6"/>
    </row>
    <row r="94" customFormat="false" ht="15.75" hidden="false" customHeight="true" outlineLevel="0" collapsed="false">
      <c r="A94" s="5"/>
      <c r="B94" s="6"/>
      <c r="C94" s="6"/>
      <c r="D94" s="6"/>
      <c r="E94" s="6"/>
      <c r="F94" s="7"/>
      <c r="G94" s="7"/>
      <c r="H94" s="8"/>
      <c r="I94" s="7"/>
      <c r="J94" s="8"/>
      <c r="K94" s="15"/>
      <c r="L94" s="6"/>
      <c r="M94" s="6" t="s">
        <v>58</v>
      </c>
      <c r="N94" s="6" t="s">
        <v>58</v>
      </c>
      <c r="O94" s="6" t="s">
        <v>58</v>
      </c>
      <c r="P94" s="6" t="s">
        <v>58</v>
      </c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5.75" hidden="false" customHeight="true" outlineLevel="0" collapsed="false">
      <c r="A95" s="5"/>
      <c r="B95" s="6" t="s">
        <v>34</v>
      </c>
      <c r="C95" s="6" t="s">
        <v>34</v>
      </c>
      <c r="D95" s="6" t="s">
        <v>34</v>
      </c>
      <c r="E95" s="6"/>
      <c r="F95" s="7"/>
      <c r="G95" s="7"/>
      <c r="H95" s="8"/>
      <c r="I95" s="7"/>
      <c r="J95" s="8"/>
      <c r="K95" s="15"/>
      <c r="L95" s="6" t="s">
        <v>71</v>
      </c>
      <c r="M95" s="6" t="s">
        <v>71</v>
      </c>
      <c r="N95" s="6" t="s">
        <v>71</v>
      </c>
      <c r="O95" s="6" t="s">
        <v>71</v>
      </c>
      <c r="P95" s="6"/>
      <c r="Q95" s="6"/>
      <c r="R95" s="6" t="s">
        <v>74</v>
      </c>
      <c r="S95" s="6" t="s">
        <v>74</v>
      </c>
      <c r="T95" s="6" t="s">
        <v>74</v>
      </c>
      <c r="U95" s="6" t="s">
        <v>74</v>
      </c>
      <c r="V95" s="6" t="s">
        <v>74</v>
      </c>
      <c r="W95" s="6" t="s">
        <v>74</v>
      </c>
      <c r="X95" s="6" t="s">
        <v>74</v>
      </c>
      <c r="Y95" s="6" t="s">
        <v>74</v>
      </c>
    </row>
    <row r="96" customFormat="false" ht="15.75" hidden="false" customHeight="true" outlineLevel="0" collapsed="false">
      <c r="A96" s="5"/>
      <c r="B96" s="6"/>
      <c r="C96" s="6"/>
      <c r="D96" s="6"/>
      <c r="E96" s="6"/>
      <c r="F96" s="7"/>
      <c r="G96" s="7"/>
      <c r="H96" s="8"/>
      <c r="I96" s="7"/>
      <c r="J96" s="8"/>
      <c r="K96" s="15"/>
      <c r="L96" s="6"/>
      <c r="M96" s="6"/>
      <c r="N96" s="6" t="s">
        <v>50</v>
      </c>
      <c r="O96" s="6" t="s">
        <v>50</v>
      </c>
      <c r="P96" s="6" t="s">
        <v>50</v>
      </c>
      <c r="Q96" s="6" t="s">
        <v>50</v>
      </c>
      <c r="R96" s="6" t="s">
        <v>50</v>
      </c>
      <c r="S96" s="6" t="s">
        <v>50</v>
      </c>
      <c r="T96" s="6" t="s">
        <v>50</v>
      </c>
      <c r="U96" s="6" t="s">
        <v>50</v>
      </c>
      <c r="V96" s="6"/>
      <c r="W96" s="6"/>
      <c r="X96" s="6"/>
      <c r="Y96" s="6"/>
    </row>
    <row r="97" customFormat="false" ht="15.75" hidden="false" customHeight="true" outlineLevel="0" collapsed="false">
      <c r="A97" s="5"/>
      <c r="B97" s="6"/>
      <c r="C97" s="6"/>
      <c r="D97" s="6"/>
      <c r="E97" s="6"/>
      <c r="F97" s="7"/>
      <c r="G97" s="7"/>
      <c r="H97" s="8"/>
      <c r="I97" s="7"/>
      <c r="J97" s="8"/>
      <c r="K97" s="15"/>
      <c r="L97" s="6" t="s">
        <v>49</v>
      </c>
      <c r="M97" s="6" t="s">
        <v>49</v>
      </c>
      <c r="N97" s="6" t="s">
        <v>49</v>
      </c>
      <c r="O97" s="6" t="s">
        <v>49</v>
      </c>
      <c r="P97" s="6" t="s">
        <v>49</v>
      </c>
      <c r="Q97" s="6" t="s">
        <v>49</v>
      </c>
      <c r="R97" s="6" t="s">
        <v>44</v>
      </c>
      <c r="S97" s="6" t="s">
        <v>44</v>
      </c>
      <c r="T97" s="6" t="s">
        <v>44</v>
      </c>
      <c r="U97" s="6" t="s">
        <v>44</v>
      </c>
      <c r="V97" s="6" t="s">
        <v>44</v>
      </c>
      <c r="W97" s="6" t="s">
        <v>44</v>
      </c>
      <c r="X97" s="6" t="s">
        <v>44</v>
      </c>
      <c r="Y97" s="6" t="s">
        <v>44</v>
      </c>
    </row>
    <row r="98" customFormat="false" ht="15.75" hidden="false" customHeight="true" outlineLevel="0" collapsed="false">
      <c r="A98" s="5"/>
      <c r="B98" s="6"/>
      <c r="C98" s="6"/>
      <c r="D98" s="6"/>
      <c r="E98" s="6"/>
      <c r="F98" s="7"/>
      <c r="G98" s="7"/>
      <c r="H98" s="8"/>
      <c r="I98" s="7"/>
      <c r="J98" s="8"/>
      <c r="K98" s="15"/>
      <c r="L98" s="6" t="s">
        <v>67</v>
      </c>
      <c r="M98" s="6" t="s">
        <v>67</v>
      </c>
      <c r="N98" s="6" t="s">
        <v>67</v>
      </c>
      <c r="O98" s="6" t="s">
        <v>67</v>
      </c>
      <c r="P98" s="6" t="s">
        <v>67</v>
      </c>
      <c r="Q98" s="6" t="s">
        <v>67</v>
      </c>
      <c r="R98" s="6" t="s">
        <v>67</v>
      </c>
      <c r="S98" s="6" t="s">
        <v>67</v>
      </c>
      <c r="T98" s="6" t="s">
        <v>67</v>
      </c>
      <c r="U98" s="6" t="s">
        <v>67</v>
      </c>
      <c r="V98" s="6"/>
      <c r="W98" s="6"/>
      <c r="X98" s="6"/>
      <c r="Y98" s="6"/>
    </row>
    <row r="99" customFormat="false" ht="15.75" hidden="false" customHeight="true" outlineLevel="0" collapsed="false">
      <c r="A99" s="5"/>
      <c r="B99" s="6"/>
      <c r="C99" s="6"/>
      <c r="D99" s="6"/>
      <c r="E99" s="6"/>
      <c r="F99" s="7"/>
      <c r="G99" s="7"/>
      <c r="H99" s="8"/>
      <c r="I99" s="7"/>
      <c r="J99" s="8"/>
      <c r="K99" s="15"/>
      <c r="L99" s="6" t="s">
        <v>51</v>
      </c>
      <c r="M99" s="6" t="s">
        <v>51</v>
      </c>
      <c r="N99" s="6" t="s">
        <v>51</v>
      </c>
      <c r="O99" s="6" t="s">
        <v>51</v>
      </c>
      <c r="P99" s="6" t="s">
        <v>51</v>
      </c>
      <c r="Q99" s="6" t="s">
        <v>51</v>
      </c>
      <c r="R99" s="6"/>
      <c r="S99" s="6"/>
      <c r="T99" s="6"/>
      <c r="U99" s="6"/>
      <c r="V99" s="6"/>
      <c r="W99" s="6"/>
      <c r="X99" s="6"/>
      <c r="Y99" s="6"/>
    </row>
    <row r="100" customFormat="false" ht="15.75" hidden="false" customHeight="true" outlineLevel="0" collapsed="false">
      <c r="A100" s="5"/>
      <c r="B100" s="6"/>
      <c r="C100" s="6"/>
      <c r="D100" s="6"/>
      <c r="E100" s="6"/>
      <c r="F100" s="7"/>
      <c r="G100" s="7"/>
      <c r="H100" s="8"/>
      <c r="I100" s="7"/>
      <c r="J100" s="8"/>
      <c r="K100" s="15"/>
      <c r="L100" s="6"/>
      <c r="M100" s="6"/>
      <c r="N100" s="6" t="s">
        <v>53</v>
      </c>
      <c r="O100" s="6" t="s">
        <v>53</v>
      </c>
      <c r="P100" s="6" t="s">
        <v>53</v>
      </c>
      <c r="Q100" s="6" t="s">
        <v>53</v>
      </c>
      <c r="R100" s="6" t="s">
        <v>53</v>
      </c>
      <c r="S100" s="6"/>
      <c r="T100" s="6" t="s">
        <v>56</v>
      </c>
      <c r="U100" s="6" t="s">
        <v>56</v>
      </c>
      <c r="V100" s="6" t="s">
        <v>56</v>
      </c>
      <c r="W100" s="6" t="s">
        <v>56</v>
      </c>
      <c r="X100" s="6"/>
      <c r="Y100" s="6"/>
    </row>
    <row r="101" customFormat="false" ht="15.75" hidden="false" customHeight="true" outlineLevel="0" collapsed="false">
      <c r="A101" s="5"/>
      <c r="B101" s="6"/>
      <c r="C101" s="6"/>
      <c r="D101" s="6"/>
      <c r="E101" s="6"/>
      <c r="F101" s="7"/>
      <c r="G101" s="7"/>
      <c r="H101" s="8"/>
      <c r="I101" s="7"/>
      <c r="J101" s="8"/>
      <c r="K101" s="15"/>
      <c r="L101" s="6"/>
      <c r="M101" s="6"/>
      <c r="N101" s="6" t="s">
        <v>69</v>
      </c>
      <c r="O101" s="6" t="s">
        <v>69</v>
      </c>
      <c r="P101" s="6" t="s">
        <v>69</v>
      </c>
      <c r="Q101" s="6" t="s">
        <v>69</v>
      </c>
      <c r="R101" s="6" t="s">
        <v>69</v>
      </c>
      <c r="S101" s="6" t="s">
        <v>69</v>
      </c>
      <c r="T101" s="6" t="s">
        <v>69</v>
      </c>
      <c r="U101" s="6" t="s">
        <v>69</v>
      </c>
      <c r="V101" s="6" t="s">
        <v>69</v>
      </c>
      <c r="W101" s="6"/>
      <c r="X101" s="6"/>
      <c r="Y101" s="6"/>
    </row>
    <row r="102" customFormat="false" ht="15.75" hidden="false" customHeight="true" outlineLevel="0" collapsed="false">
      <c r="A102" s="5"/>
      <c r="B102" s="6"/>
      <c r="C102" s="6"/>
      <c r="D102" s="6"/>
      <c r="E102" s="6"/>
      <c r="F102" s="7"/>
      <c r="G102" s="7"/>
      <c r="H102" s="8"/>
      <c r="I102" s="7"/>
      <c r="J102" s="8"/>
      <c r="K102" s="1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5.75" hidden="false" customHeight="true" outlineLevel="0" collapsed="false">
      <c r="A103" s="5"/>
      <c r="B103" s="6"/>
      <c r="C103" s="6"/>
      <c r="D103" s="6"/>
      <c r="E103" s="6"/>
      <c r="F103" s="7"/>
      <c r="G103" s="7"/>
      <c r="H103" s="8"/>
      <c r="I103" s="7"/>
      <c r="J103" s="8"/>
      <c r="K103" s="15"/>
      <c r="L103" s="6" t="s">
        <v>63</v>
      </c>
      <c r="M103" s="6" t="s">
        <v>63</v>
      </c>
      <c r="N103" s="6" t="s">
        <v>63</v>
      </c>
      <c r="O103" s="6" t="s">
        <v>63</v>
      </c>
      <c r="P103" s="6" t="s">
        <v>63</v>
      </c>
      <c r="Q103" s="6" t="s">
        <v>63</v>
      </c>
      <c r="R103" s="6"/>
      <c r="S103" s="6"/>
      <c r="T103" s="6"/>
      <c r="U103" s="6"/>
      <c r="V103" s="6"/>
      <c r="W103" s="6"/>
      <c r="X103" s="6"/>
      <c r="Y103" s="6"/>
    </row>
    <row r="104" customFormat="false" ht="15.75" hidden="false" customHeight="true" outlineLevel="0" collapsed="false">
      <c r="A104" s="5"/>
      <c r="B104" s="6"/>
      <c r="C104" s="6"/>
      <c r="D104" s="6"/>
      <c r="E104" s="6"/>
      <c r="F104" s="7"/>
      <c r="G104" s="7"/>
      <c r="H104" s="8"/>
      <c r="I104" s="7"/>
      <c r="J104" s="8"/>
      <c r="K104" s="15"/>
      <c r="L104" s="6" t="s">
        <v>72</v>
      </c>
      <c r="M104" s="6" t="s">
        <v>72</v>
      </c>
      <c r="N104" s="6" t="s">
        <v>72</v>
      </c>
      <c r="O104" s="6" t="s">
        <v>72</v>
      </c>
      <c r="P104" s="6" t="s">
        <v>72</v>
      </c>
      <c r="Q104" s="6" t="s">
        <v>72</v>
      </c>
      <c r="R104" s="6" t="s">
        <v>72</v>
      </c>
      <c r="S104" s="6" t="s">
        <v>72</v>
      </c>
      <c r="T104" s="6"/>
      <c r="U104" s="6"/>
      <c r="V104" s="6"/>
      <c r="W104" s="6"/>
      <c r="X104" s="6"/>
      <c r="Y104" s="6"/>
    </row>
    <row r="105" customFormat="false" ht="15.75" hidden="false" customHeight="true" outlineLevel="0" collapsed="false">
      <c r="A105" s="5"/>
      <c r="B105" s="6"/>
      <c r="C105" s="6"/>
      <c r="D105" s="6"/>
      <c r="E105" s="6"/>
      <c r="F105" s="7"/>
      <c r="G105" s="7"/>
      <c r="H105" s="8"/>
      <c r="I105" s="7"/>
      <c r="J105" s="8"/>
      <c r="K105" s="1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5.75" hidden="false" customHeight="true" outlineLevel="0" collapsed="false">
      <c r="A106" s="5"/>
      <c r="B106" s="6"/>
      <c r="C106" s="6"/>
      <c r="D106" s="6"/>
      <c r="E106" s="6"/>
      <c r="F106" s="7"/>
      <c r="G106" s="7"/>
      <c r="H106" s="8"/>
      <c r="I106" s="7"/>
      <c r="J106" s="8"/>
      <c r="K106" s="7"/>
      <c r="L106" s="6" t="s">
        <v>79</v>
      </c>
      <c r="M106" s="6" t="s">
        <v>79</v>
      </c>
      <c r="N106" s="6" t="s">
        <v>79</v>
      </c>
      <c r="O106" s="6" t="s">
        <v>79</v>
      </c>
      <c r="P106" s="6" t="s">
        <v>79</v>
      </c>
      <c r="Q106" s="6" t="s">
        <v>79</v>
      </c>
      <c r="R106" s="6" t="s">
        <v>79</v>
      </c>
      <c r="S106" s="6" t="s">
        <v>79</v>
      </c>
      <c r="T106" s="6" t="s">
        <v>79</v>
      </c>
      <c r="U106" s="6" t="s">
        <v>79</v>
      </c>
      <c r="V106" s="6"/>
      <c r="W106" s="6"/>
      <c r="X106" s="6"/>
      <c r="Y106" s="6"/>
    </row>
    <row r="107" customFormat="false" ht="15.75" hidden="false" customHeight="true" outlineLevel="0" collapsed="false">
      <c r="A107" s="5"/>
      <c r="B107" s="6"/>
      <c r="C107" s="6"/>
      <c r="D107" s="6"/>
      <c r="E107" s="6"/>
      <c r="F107" s="7"/>
      <c r="G107" s="7"/>
      <c r="H107" s="7"/>
      <c r="I107" s="7"/>
      <c r="J107" s="7"/>
      <c r="K107" s="16"/>
      <c r="L107" s="6" t="s">
        <v>57</v>
      </c>
      <c r="M107" s="6" t="s">
        <v>57</v>
      </c>
      <c r="N107" s="6" t="s">
        <v>57</v>
      </c>
      <c r="O107" s="6" t="s">
        <v>57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5.75" hidden="false" customHeight="true" outlineLevel="0" collapsed="false">
      <c r="A108" s="5"/>
      <c r="B108" s="6"/>
      <c r="C108" s="6"/>
      <c r="D108" s="6"/>
      <c r="E108" s="6"/>
      <c r="F108" s="7"/>
      <c r="G108" s="7"/>
      <c r="H108" s="7"/>
      <c r="I108" s="7"/>
      <c r="J108" s="14"/>
      <c r="K108" s="14"/>
      <c r="L108" s="6" t="s">
        <v>64</v>
      </c>
      <c r="M108" s="6" t="s">
        <v>64</v>
      </c>
      <c r="N108" s="6" t="s">
        <v>64</v>
      </c>
      <c r="O108" s="6" t="s">
        <v>64</v>
      </c>
      <c r="P108" s="6" t="s">
        <v>64</v>
      </c>
      <c r="Q108" s="6" t="s">
        <v>64</v>
      </c>
      <c r="R108" s="6"/>
      <c r="S108" s="6"/>
      <c r="T108" s="6"/>
      <c r="U108" s="6"/>
      <c r="V108" s="6"/>
      <c r="W108" s="6"/>
      <c r="X108" s="6"/>
      <c r="Y108" s="6"/>
    </row>
    <row r="109" customFormat="false" ht="15.75" hidden="false" customHeight="true" outlineLevel="0" collapsed="false">
      <c r="A109" s="5"/>
      <c r="B109" s="6"/>
      <c r="C109" s="6"/>
      <c r="D109" s="6"/>
      <c r="E109" s="6"/>
      <c r="F109" s="7"/>
      <c r="G109" s="7"/>
      <c r="H109" s="7"/>
      <c r="I109" s="7"/>
      <c r="J109" s="7"/>
      <c r="K109" s="14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5.75" hidden="false" customHeight="true" outlineLevel="0" collapsed="false">
      <c r="A110" s="5"/>
      <c r="B110" s="6"/>
      <c r="C110" s="6"/>
      <c r="D110" s="6"/>
      <c r="E110" s="6"/>
      <c r="F110" s="7"/>
      <c r="G110" s="7"/>
      <c r="H110" s="7"/>
      <c r="I110" s="7"/>
      <c r="J110" s="15"/>
      <c r="K110" s="1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5" hidden="false" customHeight="true" outlineLevel="0" collapsed="false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5.75" hidden="false" customHeight="true" outlineLevel="0" collapsed="false">
      <c r="A112" s="17"/>
      <c r="B112" s="18" t="n">
        <f aca="false">COUNTA(B92:B111)</f>
        <v>3</v>
      </c>
      <c r="C112" s="18" t="n">
        <f aca="false">COUNTA(C92:C111)</f>
        <v>3</v>
      </c>
      <c r="D112" s="18" t="n">
        <f aca="false">COUNTA(D92:D111)</f>
        <v>3</v>
      </c>
      <c r="E112" s="18" t="n">
        <f aca="false">COUNTA(E92:E111)</f>
        <v>0</v>
      </c>
      <c r="F112" s="18" t="n">
        <f aca="false">COUNTA(F92:F111)</f>
        <v>1</v>
      </c>
      <c r="G112" s="18" t="n">
        <f aca="false">COUNTA(G92:G111)</f>
        <v>0</v>
      </c>
      <c r="H112" s="18" t="n">
        <f aca="false">COUNTA(H92:H111)</f>
        <v>1</v>
      </c>
      <c r="I112" s="18" t="n">
        <f aca="false">COUNTA(I92:I111)</f>
        <v>0</v>
      </c>
      <c r="J112" s="18" t="n">
        <f aca="false">COUNTA(J92:J111)</f>
        <v>1</v>
      </c>
      <c r="K112" s="18" t="n">
        <f aca="false">COUNTA(K92:K111)</f>
        <v>0</v>
      </c>
      <c r="L112" s="18" t="n">
        <f aca="false">COUNTA(L92:L111)</f>
        <v>10</v>
      </c>
      <c r="M112" s="18" t="n">
        <f aca="false">COUNTA(M92:M111)</f>
        <v>12</v>
      </c>
      <c r="N112" s="18" t="n">
        <f aca="false">COUNTA(N92:N111)</f>
        <v>15</v>
      </c>
      <c r="O112" s="18" t="n">
        <f aca="false">COUNTA(O92:O111)</f>
        <v>15</v>
      </c>
      <c r="P112" s="18" t="n">
        <f aca="false">COUNTA(P92:P111)</f>
        <v>13</v>
      </c>
      <c r="Q112" s="18" t="n">
        <f aca="false">COUNTA(Q92:Q111)</f>
        <v>12</v>
      </c>
      <c r="R112" s="18" t="n">
        <f aca="false">COUNTA(R92:R111)</f>
        <v>10</v>
      </c>
      <c r="S112" s="18" t="n">
        <f aca="false">COUNTA(S92:S111)</f>
        <v>9</v>
      </c>
      <c r="T112" s="18" t="n">
        <f aca="false">COUNTA(T92:T111)</f>
        <v>9</v>
      </c>
      <c r="U112" s="18" t="n">
        <f aca="false">COUNTA(U92:U111)</f>
        <v>8</v>
      </c>
      <c r="V112" s="18" t="n">
        <f aca="false">COUNTA(V92:V111)</f>
        <v>5</v>
      </c>
      <c r="W112" s="18" t="n">
        <f aca="false">COUNTA(W92:W111)</f>
        <v>4</v>
      </c>
      <c r="X112" s="18" t="n">
        <f aca="false">COUNTA(X92:X111)</f>
        <v>3</v>
      </c>
      <c r="Y112" s="18" t="n">
        <f aca="false">COUNTA(Y92:Y111)</f>
        <v>3</v>
      </c>
    </row>
    <row r="113" customFormat="false" ht="15.75" hidden="false" customHeight="true" outlineLevel="1" collapsed="false">
      <c r="A113" s="19"/>
      <c r="B113" s="20" t="s">
        <v>80</v>
      </c>
      <c r="C113" s="20"/>
      <c r="D113" s="20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customFormat="false" ht="15.75" hidden="false" customHeight="true" outlineLevel="1" collapsed="false">
      <c r="A114" s="19"/>
      <c r="B114" s="22" t="s">
        <v>81</v>
      </c>
      <c r="C114" s="22"/>
      <c r="D114" s="22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customFormat="false" ht="15.75" hidden="false" customHeight="true" outlineLevel="1" collapsed="false">
      <c r="A115" s="19"/>
      <c r="B115" s="23" t="s">
        <v>82</v>
      </c>
      <c r="C115" s="23"/>
      <c r="D115" s="23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customFormat="false" ht="15.75" hidden="false" customHeight="true" outlineLevel="1" collapsed="false">
      <c r="A116" s="19"/>
      <c r="B116" s="24" t="s">
        <v>83</v>
      </c>
      <c r="C116" s="24"/>
      <c r="D116" s="24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customFormat="false" ht="15.75" hidden="false" customHeight="true" outlineLevel="1" collapsed="false">
      <c r="A117" s="19"/>
      <c r="B117" s="25" t="s">
        <v>84</v>
      </c>
      <c r="C117" s="25"/>
      <c r="D117" s="25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customFormat="false" ht="15.75" hidden="false" customHeight="true" outlineLevel="1" collapsed="false">
      <c r="A118" s="19"/>
      <c r="B118" s="26" t="s">
        <v>85</v>
      </c>
      <c r="C118" s="26"/>
      <c r="D118" s="26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customFormat="false" ht="15.75" hidden="false" customHeight="true" outlineLevel="1" collapsed="false">
      <c r="A119" s="19"/>
      <c r="B119" s="27" t="s">
        <v>86</v>
      </c>
      <c r="C119" s="27"/>
      <c r="D119" s="27"/>
      <c r="E119" s="21"/>
      <c r="F119" s="21"/>
      <c r="I119" s="21"/>
      <c r="J119" s="21"/>
      <c r="K119" s="21"/>
      <c r="L119" s="21"/>
      <c r="M119" s="21"/>
      <c r="N119" s="21"/>
      <c r="O119" s="21"/>
      <c r="P119" s="21"/>
      <c r="Q119" s="28" t="s">
        <v>87</v>
      </c>
      <c r="R119" s="28" t="s">
        <v>88</v>
      </c>
      <c r="S119" s="21"/>
      <c r="T119" s="21"/>
      <c r="U119" s="21"/>
      <c r="V119" s="21"/>
      <c r="W119" s="21"/>
      <c r="X119" s="21"/>
      <c r="Y119" s="21"/>
    </row>
    <row r="120" customFormat="false" ht="15.75" hidden="false" customHeight="true" outlineLevel="1" collapsed="false">
      <c r="A120" s="19"/>
      <c r="B120" s="21"/>
      <c r="C120" s="21"/>
      <c r="D120" s="29"/>
      <c r="E120" s="21"/>
      <c r="F120" s="21"/>
      <c r="H120" s="29"/>
      <c r="I120" s="21"/>
      <c r="J120" s="21"/>
      <c r="K120" s="21"/>
      <c r="L120" s="21"/>
      <c r="M120" s="21"/>
      <c r="N120" s="21"/>
      <c r="O120" s="21"/>
      <c r="P120" s="21"/>
      <c r="Q120" s="29" t="s">
        <v>53</v>
      </c>
      <c r="R120" s="30" t="s">
        <v>89</v>
      </c>
      <c r="S120" s="21"/>
      <c r="T120" s="21"/>
      <c r="U120" s="21"/>
      <c r="V120" s="21"/>
      <c r="W120" s="21"/>
      <c r="X120" s="21"/>
      <c r="Y120" s="21"/>
    </row>
    <row r="121" customFormat="false" ht="15.75" hidden="false" customHeight="true" outlineLevel="1" collapsed="false">
      <c r="A121" s="19"/>
      <c r="B121" s="21"/>
      <c r="C121" s="21"/>
      <c r="D121" s="29"/>
      <c r="E121" s="21"/>
      <c r="F121" s="21"/>
      <c r="H121" s="29"/>
      <c r="I121" s="21"/>
      <c r="J121" s="21"/>
      <c r="K121" s="21"/>
      <c r="L121" s="21"/>
      <c r="M121" s="21"/>
      <c r="N121" s="21"/>
      <c r="O121" s="21"/>
      <c r="P121" s="21"/>
      <c r="Q121" s="29" t="s">
        <v>25</v>
      </c>
      <c r="R121" s="30" t="s">
        <v>90</v>
      </c>
      <c r="S121" s="21"/>
      <c r="T121" s="21"/>
      <c r="U121" s="21"/>
      <c r="V121" s="21"/>
      <c r="W121" s="21"/>
      <c r="X121" s="21"/>
      <c r="Y121" s="21"/>
    </row>
    <row r="122" customFormat="false" ht="15.75" hidden="false" customHeight="true" outlineLevel="1" collapsed="false">
      <c r="A122" s="19"/>
      <c r="B122" s="21"/>
      <c r="C122" s="21"/>
      <c r="D122" s="29"/>
      <c r="E122" s="21"/>
      <c r="F122" s="21"/>
      <c r="H122" s="29"/>
      <c r="I122" s="21"/>
      <c r="J122" s="21"/>
      <c r="K122" s="21"/>
      <c r="L122" s="21"/>
      <c r="M122" s="21"/>
      <c r="N122" s="21"/>
      <c r="O122" s="21"/>
      <c r="P122" s="21"/>
      <c r="Q122" s="29" t="s">
        <v>68</v>
      </c>
      <c r="R122" s="30" t="s">
        <v>91</v>
      </c>
      <c r="S122" s="21"/>
      <c r="T122" s="21"/>
      <c r="U122" s="21"/>
      <c r="V122" s="21"/>
      <c r="W122" s="21"/>
      <c r="X122" s="21"/>
      <c r="Y122" s="21"/>
    </row>
    <row r="123" customFormat="false" ht="15.75" hidden="false" customHeight="true" outlineLevel="1" collapsed="false">
      <c r="A123" s="19"/>
      <c r="B123" s="21"/>
      <c r="C123" s="21"/>
      <c r="D123" s="29"/>
      <c r="E123" s="21"/>
      <c r="F123" s="21"/>
      <c r="H123" s="29"/>
      <c r="I123" s="21"/>
      <c r="J123" s="21"/>
      <c r="K123" s="21"/>
      <c r="L123" s="21"/>
      <c r="M123" s="21"/>
      <c r="N123" s="21"/>
      <c r="O123" s="21"/>
      <c r="P123" s="21"/>
      <c r="Q123" s="29" t="s">
        <v>39</v>
      </c>
      <c r="R123" s="30" t="s">
        <v>89</v>
      </c>
      <c r="S123" s="21"/>
      <c r="T123" s="21"/>
      <c r="U123" s="21"/>
      <c r="V123" s="21"/>
      <c r="W123" s="21"/>
      <c r="X123" s="21"/>
      <c r="Y123" s="21"/>
    </row>
    <row r="124" customFormat="false" ht="15.75" hidden="false" customHeight="true" outlineLevel="1" collapsed="false">
      <c r="A124" s="19"/>
      <c r="B124" s="21"/>
      <c r="C124" s="21"/>
      <c r="D124" s="29"/>
      <c r="E124" s="21"/>
      <c r="F124" s="21"/>
      <c r="H124" s="29"/>
      <c r="I124" s="21"/>
      <c r="J124" s="21"/>
      <c r="K124" s="21"/>
      <c r="L124" s="21"/>
      <c r="M124" s="21"/>
      <c r="N124" s="21"/>
      <c r="O124" s="21"/>
      <c r="P124" s="21"/>
      <c r="Q124" s="29" t="s">
        <v>47</v>
      </c>
      <c r="R124" s="30" t="s">
        <v>90</v>
      </c>
      <c r="S124" s="21"/>
      <c r="T124" s="21"/>
      <c r="U124" s="21"/>
      <c r="V124" s="21"/>
      <c r="W124" s="21"/>
      <c r="X124" s="21"/>
      <c r="Y124" s="21"/>
    </row>
    <row r="125" customFormat="false" ht="15.75" hidden="false" customHeight="true" outlineLevel="1" collapsed="false">
      <c r="A125" s="19"/>
      <c r="B125" s="21"/>
      <c r="C125" s="21"/>
      <c r="D125" s="29"/>
      <c r="E125" s="21"/>
      <c r="F125" s="21"/>
      <c r="H125" s="29"/>
      <c r="I125" s="21"/>
      <c r="J125" s="21"/>
      <c r="K125" s="21"/>
      <c r="L125" s="21"/>
      <c r="M125" s="21"/>
      <c r="N125" s="21"/>
      <c r="O125" s="21"/>
      <c r="P125" s="21"/>
      <c r="Q125" s="29" t="s">
        <v>31</v>
      </c>
      <c r="R125" s="30" t="s">
        <v>91</v>
      </c>
      <c r="S125" s="21"/>
      <c r="T125" s="21"/>
      <c r="U125" s="21"/>
      <c r="V125" s="21"/>
      <c r="W125" s="21"/>
      <c r="X125" s="21"/>
      <c r="Y125" s="21"/>
    </row>
    <row r="126" customFormat="false" ht="15.75" hidden="false" customHeight="true" outlineLevel="1" collapsed="false">
      <c r="A126" s="19"/>
      <c r="B126" s="21"/>
      <c r="C126" s="21"/>
      <c r="D126" s="29"/>
      <c r="E126" s="21"/>
      <c r="F126" s="21"/>
      <c r="H126" s="29"/>
      <c r="I126" s="21"/>
      <c r="J126" s="21"/>
      <c r="K126" s="21"/>
      <c r="L126" s="21"/>
      <c r="M126" s="21"/>
      <c r="N126" s="21"/>
      <c r="O126" s="21"/>
      <c r="P126" s="21"/>
      <c r="Q126" s="29" t="s">
        <v>63</v>
      </c>
      <c r="R126" s="30" t="s">
        <v>89</v>
      </c>
      <c r="S126" s="21"/>
      <c r="T126" s="21"/>
      <c r="U126" s="21"/>
      <c r="V126" s="21"/>
      <c r="W126" s="21"/>
      <c r="X126" s="21"/>
      <c r="Y126" s="21"/>
    </row>
    <row r="127" customFormat="false" ht="15.75" hidden="false" customHeight="true" outlineLevel="1" collapsed="false">
      <c r="A127" s="19"/>
      <c r="B127" s="21"/>
      <c r="C127" s="21"/>
      <c r="D127" s="29"/>
      <c r="E127" s="21"/>
      <c r="F127" s="21"/>
      <c r="H127" s="29"/>
      <c r="I127" s="21"/>
      <c r="J127" s="21"/>
      <c r="K127" s="21"/>
      <c r="L127" s="21"/>
      <c r="M127" s="21"/>
      <c r="N127" s="21"/>
      <c r="O127" s="21"/>
      <c r="P127" s="21"/>
      <c r="Q127" s="29" t="s">
        <v>61</v>
      </c>
      <c r="R127" s="30" t="s">
        <v>90</v>
      </c>
      <c r="S127" s="21"/>
      <c r="T127" s="21"/>
      <c r="U127" s="21"/>
      <c r="V127" s="21"/>
      <c r="W127" s="21"/>
      <c r="X127" s="21"/>
      <c r="Y127" s="21"/>
    </row>
    <row r="128" customFormat="false" ht="15.75" hidden="false" customHeight="true" outlineLevel="1" collapsed="false">
      <c r="A128" s="19"/>
      <c r="B128" s="21"/>
      <c r="C128" s="21"/>
      <c r="D128" s="29"/>
      <c r="E128" s="21"/>
      <c r="F128" s="21"/>
      <c r="H128" s="29"/>
      <c r="I128" s="21"/>
      <c r="J128" s="21"/>
      <c r="K128" s="21"/>
      <c r="L128" s="21"/>
      <c r="M128" s="21"/>
      <c r="N128" s="21"/>
      <c r="O128" s="21"/>
      <c r="P128" s="21"/>
      <c r="Q128" s="29" t="s">
        <v>51</v>
      </c>
      <c r="R128" s="30" t="s">
        <v>91</v>
      </c>
      <c r="S128" s="21"/>
      <c r="T128" s="21"/>
      <c r="U128" s="21"/>
      <c r="V128" s="21"/>
      <c r="W128" s="21"/>
      <c r="X128" s="21"/>
      <c r="Y128" s="21"/>
    </row>
    <row r="129" customFormat="false" ht="15.75" hidden="false" customHeight="true" outlineLevel="1" collapsed="false">
      <c r="A129" s="19"/>
      <c r="B129" s="21"/>
      <c r="C129" s="21"/>
      <c r="D129" s="29"/>
      <c r="E129" s="21"/>
      <c r="F129" s="21"/>
      <c r="H129" s="29"/>
      <c r="I129" s="21"/>
      <c r="J129" s="21"/>
      <c r="K129" s="21"/>
      <c r="L129" s="21"/>
      <c r="M129" s="21"/>
      <c r="N129" s="21"/>
      <c r="O129" s="21"/>
      <c r="P129" s="21"/>
      <c r="Q129" s="29" t="s">
        <v>27</v>
      </c>
      <c r="R129" s="30" t="s">
        <v>89</v>
      </c>
      <c r="S129" s="21"/>
      <c r="T129" s="21"/>
      <c r="U129" s="21"/>
      <c r="V129" s="21"/>
      <c r="W129" s="21"/>
      <c r="X129" s="21"/>
      <c r="Y129" s="21"/>
    </row>
    <row r="130" customFormat="false" ht="15.75" hidden="false" customHeight="true" outlineLevel="1" collapsed="false">
      <c r="A130" s="19"/>
      <c r="B130" s="21"/>
      <c r="C130" s="21"/>
      <c r="D130" s="29"/>
      <c r="E130" s="21"/>
      <c r="F130" s="21"/>
      <c r="H130" s="29"/>
      <c r="I130" s="21"/>
      <c r="J130" s="21"/>
      <c r="K130" s="21"/>
      <c r="L130" s="21"/>
      <c r="M130" s="21"/>
      <c r="N130" s="21"/>
      <c r="O130" s="21"/>
      <c r="P130" s="21"/>
      <c r="Q130" s="29" t="s">
        <v>35</v>
      </c>
      <c r="R130" s="30" t="s">
        <v>90</v>
      </c>
      <c r="S130" s="21"/>
      <c r="T130" s="21"/>
      <c r="U130" s="21"/>
      <c r="V130" s="21"/>
      <c r="W130" s="21"/>
      <c r="X130" s="21"/>
      <c r="Y130" s="21"/>
    </row>
    <row r="131" customFormat="false" ht="15.75" hidden="false" customHeight="true" outlineLevel="1" collapsed="false">
      <c r="A131" s="19"/>
      <c r="B131" s="21"/>
      <c r="C131" s="21"/>
      <c r="D131" s="29"/>
      <c r="E131" s="21"/>
      <c r="F131" s="21"/>
      <c r="H131" s="29"/>
      <c r="I131" s="21"/>
      <c r="J131" s="21"/>
      <c r="K131" s="21"/>
      <c r="L131" s="21"/>
      <c r="M131" s="21"/>
      <c r="N131" s="21"/>
      <c r="O131" s="21"/>
      <c r="P131" s="21"/>
      <c r="Q131" s="29" t="s">
        <v>70</v>
      </c>
      <c r="R131" s="30" t="s">
        <v>91</v>
      </c>
      <c r="S131" s="21"/>
      <c r="T131" s="21"/>
      <c r="U131" s="21"/>
      <c r="V131" s="21"/>
      <c r="W131" s="21"/>
      <c r="X131" s="21"/>
      <c r="Y131" s="21"/>
    </row>
    <row r="132" customFormat="false" ht="15.75" hidden="false" customHeight="true" outlineLevel="1" collapsed="false">
      <c r="A132" s="19"/>
      <c r="B132" s="21"/>
      <c r="C132" s="21"/>
      <c r="D132" s="29"/>
      <c r="E132" s="21"/>
      <c r="F132" s="21"/>
      <c r="H132" s="29"/>
      <c r="I132" s="21"/>
      <c r="J132" s="21"/>
      <c r="K132" s="21"/>
      <c r="L132" s="21"/>
      <c r="M132" s="21"/>
      <c r="N132" s="21"/>
      <c r="O132" s="21"/>
      <c r="P132" s="21"/>
      <c r="Q132" s="29" t="s">
        <v>72</v>
      </c>
      <c r="R132" s="30" t="s">
        <v>89</v>
      </c>
      <c r="S132" s="21"/>
      <c r="T132" s="21"/>
      <c r="U132" s="21"/>
      <c r="V132" s="21"/>
      <c r="W132" s="21"/>
      <c r="X132" s="21"/>
      <c r="Y132" s="21"/>
    </row>
    <row r="133" customFormat="false" ht="15.75" hidden="false" customHeight="true" outlineLevel="1" collapsed="false">
      <c r="A133" s="19"/>
      <c r="B133" s="21"/>
      <c r="C133" s="21"/>
      <c r="D133" s="29"/>
      <c r="E133" s="21"/>
      <c r="F133" s="21"/>
      <c r="H133" s="29"/>
      <c r="I133" s="21"/>
      <c r="J133" s="21"/>
      <c r="K133" s="21"/>
      <c r="L133" s="21"/>
      <c r="M133" s="21"/>
      <c r="N133" s="21"/>
      <c r="O133" s="21"/>
      <c r="P133" s="21"/>
      <c r="Q133" s="29" t="s">
        <v>46</v>
      </c>
      <c r="R133" s="30" t="s">
        <v>90</v>
      </c>
      <c r="S133" s="21"/>
      <c r="T133" s="21"/>
      <c r="U133" s="21"/>
      <c r="V133" s="21"/>
      <c r="W133" s="21"/>
      <c r="X133" s="21"/>
      <c r="Y133" s="21"/>
    </row>
    <row r="134" customFormat="false" ht="15.75" hidden="false" customHeight="true" outlineLevel="0" collapsed="false">
      <c r="A134" s="19"/>
      <c r="B134" s="21"/>
      <c r="C134" s="21"/>
      <c r="D134" s="29"/>
      <c r="E134" s="21"/>
      <c r="F134" s="21"/>
      <c r="H134" s="29"/>
      <c r="I134" s="21"/>
      <c r="J134" s="21"/>
      <c r="K134" s="21"/>
      <c r="L134" s="21"/>
      <c r="M134" s="21"/>
      <c r="N134" s="21"/>
      <c r="O134" s="21"/>
      <c r="P134" s="21"/>
      <c r="Q134" s="29" t="s">
        <v>56</v>
      </c>
      <c r="R134" s="30" t="s">
        <v>91</v>
      </c>
      <c r="S134" s="21"/>
      <c r="T134" s="21"/>
      <c r="U134" s="21"/>
      <c r="V134" s="21"/>
      <c r="W134" s="21"/>
      <c r="X134" s="21"/>
      <c r="Y134" s="21"/>
    </row>
    <row r="135" customFormat="false" ht="15.75" hidden="false" customHeight="true" outlineLevel="0" collapsed="false">
      <c r="A135" s="19"/>
      <c r="B135" s="21"/>
      <c r="C135" s="21"/>
      <c r="D135" s="29"/>
      <c r="E135" s="21"/>
      <c r="F135" s="21"/>
      <c r="H135" s="29"/>
      <c r="I135" s="21"/>
      <c r="J135" s="21"/>
      <c r="K135" s="21"/>
      <c r="L135" s="21"/>
      <c r="M135" s="21"/>
      <c r="N135" s="21"/>
      <c r="O135" s="21"/>
      <c r="P135" s="21"/>
      <c r="Q135" s="29" t="s">
        <v>64</v>
      </c>
      <c r="R135" s="30" t="s">
        <v>89</v>
      </c>
      <c r="S135" s="21"/>
      <c r="T135" s="21"/>
      <c r="U135" s="21"/>
      <c r="V135" s="21"/>
      <c r="W135" s="21"/>
      <c r="X135" s="21"/>
      <c r="Y135" s="21"/>
    </row>
    <row r="136" customFormat="false" ht="15.75" hidden="false" customHeight="true" outlineLevel="0" collapsed="false">
      <c r="A136" s="19"/>
      <c r="B136" s="21"/>
      <c r="C136" s="21"/>
      <c r="D136" s="29"/>
      <c r="E136" s="21"/>
      <c r="F136" s="21"/>
      <c r="H136" s="29"/>
      <c r="I136" s="21"/>
      <c r="J136" s="21"/>
      <c r="K136" s="21"/>
      <c r="L136" s="21"/>
      <c r="M136" s="21"/>
      <c r="N136" s="21"/>
      <c r="O136" s="21"/>
      <c r="P136" s="21"/>
      <c r="Q136" s="29" t="s">
        <v>71</v>
      </c>
      <c r="R136" s="30" t="s">
        <v>90</v>
      </c>
      <c r="S136" s="21"/>
      <c r="T136" s="21"/>
      <c r="U136" s="21"/>
      <c r="V136" s="21"/>
      <c r="W136" s="21"/>
      <c r="X136" s="21"/>
      <c r="Y136" s="21"/>
    </row>
    <row r="137" customFormat="false" ht="15.75" hidden="false" customHeight="true" outlineLevel="0" collapsed="false">
      <c r="A137" s="19"/>
      <c r="B137" s="21"/>
      <c r="C137" s="21"/>
      <c r="D137" s="29"/>
      <c r="E137" s="21"/>
      <c r="F137" s="21"/>
      <c r="H137" s="29"/>
      <c r="I137" s="21"/>
      <c r="J137" s="21"/>
      <c r="K137" s="21"/>
      <c r="L137" s="21"/>
      <c r="M137" s="21"/>
      <c r="N137" s="21"/>
      <c r="O137" s="21"/>
      <c r="P137" s="21"/>
      <c r="Q137" s="29" t="s">
        <v>30</v>
      </c>
      <c r="R137" s="30" t="s">
        <v>91</v>
      </c>
      <c r="S137" s="21"/>
      <c r="T137" s="21"/>
      <c r="U137" s="21"/>
      <c r="V137" s="21"/>
      <c r="W137" s="21"/>
      <c r="X137" s="21"/>
      <c r="Y137" s="21"/>
    </row>
    <row r="138" customFormat="false" ht="15.75" hidden="false" customHeight="true" outlineLevel="0" collapsed="false">
      <c r="A138" s="19"/>
      <c r="B138" s="21"/>
      <c r="C138" s="21"/>
      <c r="D138" s="29"/>
      <c r="E138" s="21"/>
      <c r="F138" s="21"/>
      <c r="H138" s="29"/>
      <c r="I138" s="21"/>
      <c r="J138" s="21"/>
      <c r="K138" s="21"/>
      <c r="L138" s="21"/>
      <c r="M138" s="21"/>
      <c r="N138" s="21"/>
      <c r="O138" s="21"/>
      <c r="P138" s="21"/>
      <c r="Q138" s="29" t="s">
        <v>59</v>
      </c>
      <c r="R138" s="30" t="s">
        <v>89</v>
      </c>
      <c r="S138" s="21"/>
      <c r="T138" s="21"/>
      <c r="U138" s="21"/>
      <c r="V138" s="21"/>
      <c r="W138" s="21"/>
      <c r="X138" s="21"/>
      <c r="Y138" s="21"/>
    </row>
    <row r="139" customFormat="false" ht="15.75" hidden="false" customHeight="true" outlineLevel="0" collapsed="false">
      <c r="A139" s="19"/>
      <c r="B139" s="21"/>
      <c r="C139" s="21"/>
      <c r="D139" s="29"/>
      <c r="E139" s="21"/>
      <c r="F139" s="21"/>
      <c r="H139" s="29"/>
      <c r="I139" s="21"/>
      <c r="J139" s="21"/>
      <c r="K139" s="21"/>
      <c r="L139" s="21"/>
      <c r="M139" s="21"/>
      <c r="N139" s="21"/>
      <c r="O139" s="21"/>
      <c r="P139" s="21"/>
      <c r="Q139" s="29" t="s">
        <v>74</v>
      </c>
      <c r="R139" s="30" t="s">
        <v>90</v>
      </c>
      <c r="S139" s="21"/>
      <c r="T139" s="21"/>
      <c r="U139" s="21"/>
      <c r="V139" s="21"/>
      <c r="W139" s="21"/>
      <c r="X139" s="21"/>
      <c r="Y139" s="21"/>
    </row>
    <row r="140" customFormat="false" ht="15.75" hidden="false" customHeight="true" outlineLevel="0" collapsed="false">
      <c r="A140" s="19"/>
      <c r="B140" s="21"/>
      <c r="C140" s="21"/>
      <c r="D140" s="29"/>
      <c r="E140" s="21"/>
      <c r="F140" s="21"/>
      <c r="H140" s="29"/>
      <c r="I140" s="21"/>
      <c r="J140" s="21"/>
      <c r="K140" s="21"/>
      <c r="L140" s="21"/>
      <c r="M140" s="21"/>
      <c r="N140" s="21"/>
      <c r="O140" s="21"/>
      <c r="P140" s="21"/>
      <c r="Q140" s="29" t="s">
        <v>36</v>
      </c>
      <c r="R140" s="30" t="s">
        <v>91</v>
      </c>
      <c r="S140" s="21"/>
      <c r="T140" s="21"/>
      <c r="U140" s="21"/>
      <c r="V140" s="21"/>
      <c r="W140" s="21"/>
      <c r="X140" s="21"/>
      <c r="Y140" s="21"/>
    </row>
    <row r="141" customFormat="false" ht="15.75" hidden="false" customHeight="true" outlineLevel="0" collapsed="false">
      <c r="A141" s="19"/>
      <c r="B141" s="21"/>
      <c r="C141" s="21"/>
      <c r="D141" s="29"/>
      <c r="E141" s="21"/>
      <c r="F141" s="21"/>
      <c r="H141" s="29"/>
      <c r="I141" s="21"/>
      <c r="J141" s="21"/>
      <c r="K141" s="21"/>
      <c r="L141" s="21"/>
      <c r="M141" s="21"/>
      <c r="N141" s="21"/>
      <c r="O141" s="21"/>
      <c r="P141" s="21"/>
      <c r="Q141" s="29" t="s">
        <v>52</v>
      </c>
      <c r="R141" s="30" t="s">
        <v>89</v>
      </c>
      <c r="S141" s="21"/>
      <c r="T141" s="21"/>
      <c r="U141" s="21"/>
      <c r="V141" s="21"/>
      <c r="W141" s="21"/>
      <c r="X141" s="21"/>
      <c r="Y141" s="21"/>
    </row>
    <row r="142" customFormat="false" ht="15.75" hidden="false" customHeight="true" outlineLevel="0" collapsed="false">
      <c r="A142" s="19"/>
      <c r="B142" s="21"/>
      <c r="C142" s="21"/>
      <c r="D142" s="29"/>
      <c r="E142" s="6"/>
      <c r="F142" s="21"/>
      <c r="H142" s="29"/>
      <c r="I142" s="21"/>
      <c r="J142" s="21"/>
      <c r="K142" s="21"/>
      <c r="L142" s="21"/>
      <c r="M142" s="21"/>
      <c r="N142" s="21"/>
      <c r="O142" s="21"/>
      <c r="P142" s="21"/>
      <c r="Q142" s="29" t="s">
        <v>41</v>
      </c>
      <c r="R142" s="30" t="s">
        <v>90</v>
      </c>
      <c r="S142" s="21"/>
      <c r="T142" s="21"/>
      <c r="U142" s="21"/>
      <c r="V142" s="21"/>
      <c r="W142" s="21"/>
      <c r="X142" s="21"/>
      <c r="Y142" s="21"/>
    </row>
    <row r="143" customFormat="false" ht="15.75" hidden="false" customHeight="true" outlineLevel="0" collapsed="false">
      <c r="A143" s="19"/>
      <c r="B143" s="21"/>
      <c r="C143" s="21"/>
      <c r="D143" s="29"/>
      <c r="E143" s="6"/>
      <c r="F143" s="21"/>
      <c r="H143" s="29"/>
      <c r="I143" s="21"/>
      <c r="J143" s="21"/>
      <c r="K143" s="21"/>
      <c r="L143" s="21"/>
      <c r="M143" s="21"/>
      <c r="N143" s="21"/>
      <c r="O143" s="21"/>
      <c r="P143" s="21"/>
      <c r="Q143" s="29" t="s">
        <v>45</v>
      </c>
      <c r="R143" s="30" t="s">
        <v>91</v>
      </c>
      <c r="S143" s="21"/>
      <c r="T143" s="21"/>
      <c r="U143" s="21"/>
      <c r="V143" s="21"/>
      <c r="W143" s="21"/>
      <c r="X143" s="21"/>
      <c r="Y143" s="21"/>
    </row>
    <row r="144" customFormat="false" ht="15.75" hidden="false" customHeight="true" outlineLevel="0" collapsed="false">
      <c r="A144" s="19"/>
      <c r="B144" s="21"/>
      <c r="C144" s="21"/>
      <c r="D144" s="29"/>
      <c r="E144" s="6"/>
      <c r="F144" s="21"/>
      <c r="H144" s="29"/>
      <c r="I144" s="21"/>
      <c r="J144" s="21"/>
      <c r="K144" s="21"/>
      <c r="L144" s="21"/>
      <c r="M144" s="21"/>
      <c r="N144" s="21"/>
      <c r="O144" s="21"/>
      <c r="P144" s="21"/>
      <c r="Q144" s="29" t="s">
        <v>48</v>
      </c>
      <c r="R144" s="30" t="s">
        <v>89</v>
      </c>
      <c r="S144" s="21"/>
      <c r="T144" s="21"/>
      <c r="U144" s="21"/>
      <c r="V144" s="21"/>
      <c r="W144" s="21"/>
      <c r="X144" s="21"/>
      <c r="Y144" s="21"/>
    </row>
    <row r="145" customFormat="false" ht="15.75" hidden="false" customHeight="true" outlineLevel="0" collapsed="false">
      <c r="A145" s="19"/>
      <c r="B145" s="21"/>
      <c r="C145" s="21"/>
      <c r="D145" s="29"/>
      <c r="E145" s="6"/>
      <c r="F145" s="21"/>
      <c r="H145" s="29"/>
      <c r="I145" s="21"/>
      <c r="J145" s="21"/>
      <c r="K145" s="21"/>
      <c r="L145" s="21"/>
      <c r="M145" s="21"/>
      <c r="N145" s="21"/>
      <c r="O145" s="21"/>
      <c r="P145" s="21"/>
      <c r="Q145" s="29" t="s">
        <v>42</v>
      </c>
      <c r="R145" s="30" t="s">
        <v>90</v>
      </c>
      <c r="S145" s="21"/>
      <c r="T145" s="21"/>
      <c r="U145" s="21"/>
      <c r="V145" s="21"/>
      <c r="W145" s="21"/>
      <c r="X145" s="21"/>
      <c r="Y145" s="21"/>
    </row>
    <row r="146" customFormat="false" ht="15.75" hidden="false" customHeight="true" outlineLevel="0" collapsed="false">
      <c r="A146" s="19"/>
      <c r="B146" s="21"/>
      <c r="C146" s="21"/>
      <c r="D146" s="29"/>
      <c r="E146" s="6"/>
      <c r="F146" s="21"/>
      <c r="H146" s="29"/>
      <c r="I146" s="21"/>
      <c r="J146" s="21"/>
      <c r="K146" s="21"/>
      <c r="L146" s="21"/>
      <c r="M146" s="21"/>
      <c r="N146" s="21"/>
      <c r="O146" s="21"/>
      <c r="P146" s="21"/>
      <c r="Q146" s="29" t="s">
        <v>34</v>
      </c>
      <c r="R146" s="30" t="s">
        <v>91</v>
      </c>
      <c r="S146" s="21"/>
      <c r="T146" s="21"/>
      <c r="U146" s="21"/>
      <c r="V146" s="21"/>
      <c r="W146" s="21"/>
      <c r="X146" s="21"/>
      <c r="Y146" s="21"/>
    </row>
    <row r="147" customFormat="false" ht="15.75" hidden="false" customHeight="true" outlineLevel="0" collapsed="false">
      <c r="A147" s="19"/>
      <c r="B147" s="21"/>
      <c r="C147" s="21"/>
      <c r="D147" s="29"/>
      <c r="E147" s="6"/>
      <c r="F147" s="21"/>
      <c r="H147" s="29"/>
      <c r="I147" s="21"/>
      <c r="J147" s="21"/>
      <c r="K147" s="21"/>
      <c r="L147" s="21"/>
      <c r="M147" s="21"/>
      <c r="N147" s="21"/>
      <c r="O147" s="21"/>
      <c r="P147" s="21"/>
      <c r="Q147" s="29" t="s">
        <v>55</v>
      </c>
      <c r="R147" s="30" t="s">
        <v>89</v>
      </c>
      <c r="S147" s="21"/>
      <c r="T147" s="21"/>
      <c r="U147" s="21"/>
      <c r="V147" s="21"/>
      <c r="W147" s="21"/>
      <c r="X147" s="21"/>
      <c r="Y147" s="21"/>
    </row>
    <row r="148" customFormat="false" ht="15.75" hidden="false" customHeight="true" outlineLevel="0" collapsed="false">
      <c r="A148" s="19"/>
      <c r="B148" s="21"/>
      <c r="C148" s="21"/>
      <c r="D148" s="29"/>
      <c r="E148" s="6"/>
      <c r="F148" s="21"/>
      <c r="H148" s="29"/>
      <c r="I148" s="21"/>
      <c r="J148" s="21"/>
      <c r="K148" s="21"/>
      <c r="L148" s="21"/>
      <c r="M148" s="21"/>
      <c r="N148" s="21"/>
      <c r="O148" s="21"/>
      <c r="P148" s="21"/>
      <c r="Q148" s="29" t="s">
        <v>57</v>
      </c>
      <c r="R148" s="30" t="s">
        <v>90</v>
      </c>
      <c r="S148" s="21"/>
      <c r="T148" s="21"/>
      <c r="U148" s="21"/>
      <c r="V148" s="21"/>
      <c r="W148" s="21"/>
      <c r="X148" s="21"/>
      <c r="Y148" s="21"/>
    </row>
    <row r="149" customFormat="false" ht="15.75" hidden="false" customHeight="true" outlineLevel="0" collapsed="false">
      <c r="A149" s="19"/>
      <c r="B149" s="21"/>
      <c r="C149" s="21"/>
      <c r="D149" s="29"/>
      <c r="E149" s="6"/>
      <c r="F149" s="21"/>
      <c r="H149" s="29"/>
      <c r="I149" s="21"/>
      <c r="J149" s="21"/>
      <c r="K149" s="21"/>
      <c r="L149" s="21"/>
      <c r="M149" s="21"/>
      <c r="N149" s="21"/>
      <c r="O149" s="21"/>
      <c r="P149" s="21"/>
      <c r="Q149" s="29" t="s">
        <v>50</v>
      </c>
      <c r="R149" s="30" t="s">
        <v>91</v>
      </c>
      <c r="S149" s="21"/>
      <c r="T149" s="21"/>
      <c r="U149" s="21"/>
      <c r="V149" s="21"/>
      <c r="W149" s="21"/>
      <c r="X149" s="21"/>
      <c r="Y149" s="21"/>
    </row>
    <row r="150" customFormat="false" ht="15.75" hidden="false" customHeight="true" outlineLevel="0" collapsed="false">
      <c r="A150" s="19"/>
      <c r="B150" s="21"/>
      <c r="C150" s="21"/>
      <c r="D150" s="29"/>
      <c r="E150" s="6"/>
      <c r="F150" s="21"/>
      <c r="H150" s="29"/>
      <c r="I150" s="21"/>
      <c r="J150" s="21"/>
      <c r="K150" s="21"/>
      <c r="L150" s="21"/>
      <c r="M150" s="21"/>
      <c r="N150" s="21"/>
      <c r="O150" s="21"/>
      <c r="P150" s="21"/>
      <c r="Q150" s="29" t="s">
        <v>44</v>
      </c>
      <c r="R150" s="30" t="s">
        <v>89</v>
      </c>
      <c r="S150" s="21"/>
      <c r="T150" s="21"/>
      <c r="U150" s="21"/>
      <c r="V150" s="21"/>
      <c r="W150" s="21"/>
      <c r="X150" s="21"/>
      <c r="Y150" s="21"/>
    </row>
    <row r="151" customFormat="false" ht="15.75" hidden="false" customHeight="true" outlineLevel="0" collapsed="false">
      <c r="A151" s="19"/>
      <c r="B151" s="21"/>
      <c r="C151" s="21"/>
      <c r="D151" s="29"/>
      <c r="E151" s="6"/>
      <c r="F151" s="21"/>
      <c r="H151" s="29"/>
      <c r="I151" s="21"/>
      <c r="J151" s="21"/>
      <c r="K151" s="21"/>
      <c r="L151" s="21"/>
      <c r="M151" s="21"/>
      <c r="N151" s="21"/>
      <c r="O151" s="21"/>
      <c r="P151" s="21"/>
      <c r="Q151" s="29" t="s">
        <v>54</v>
      </c>
      <c r="R151" s="30" t="s">
        <v>90</v>
      </c>
      <c r="S151" s="21"/>
      <c r="T151" s="21"/>
      <c r="U151" s="21"/>
      <c r="V151" s="21"/>
      <c r="W151" s="21"/>
      <c r="X151" s="21"/>
      <c r="Y151" s="21"/>
    </row>
    <row r="152" customFormat="false" ht="15.75" hidden="false" customHeight="true" outlineLevel="0" collapsed="false">
      <c r="A152" s="19"/>
      <c r="B152" s="21"/>
      <c r="C152" s="21"/>
      <c r="D152" s="29"/>
      <c r="E152" s="6"/>
      <c r="F152" s="21"/>
      <c r="H152" s="29"/>
      <c r="I152" s="21"/>
      <c r="J152" s="21"/>
      <c r="K152" s="21"/>
      <c r="L152" s="21"/>
      <c r="M152" s="21"/>
      <c r="N152" s="21"/>
      <c r="O152" s="21"/>
      <c r="P152" s="21"/>
      <c r="Q152" s="29" t="s">
        <v>58</v>
      </c>
      <c r="R152" s="30" t="s">
        <v>91</v>
      </c>
      <c r="S152" s="21"/>
      <c r="T152" s="21"/>
      <c r="U152" s="21"/>
      <c r="V152" s="21"/>
      <c r="W152" s="21"/>
      <c r="X152" s="21"/>
      <c r="Y152" s="21"/>
    </row>
    <row r="153" customFormat="false" ht="15.75" hidden="false" customHeight="true" outlineLevel="0" collapsed="false">
      <c r="A153" s="19"/>
      <c r="B153" s="21"/>
      <c r="C153" s="21"/>
      <c r="D153" s="29"/>
      <c r="E153" s="6"/>
      <c r="F153" s="21"/>
      <c r="H153" s="29"/>
      <c r="I153" s="21"/>
      <c r="J153" s="21"/>
      <c r="K153" s="21"/>
      <c r="L153" s="21"/>
      <c r="M153" s="21"/>
      <c r="N153" s="21"/>
      <c r="O153" s="21"/>
      <c r="P153" s="21"/>
      <c r="Q153" s="29" t="s">
        <v>26</v>
      </c>
      <c r="R153" s="30" t="s">
        <v>89</v>
      </c>
      <c r="S153" s="21"/>
      <c r="T153" s="21"/>
      <c r="U153" s="21"/>
      <c r="V153" s="21"/>
      <c r="W153" s="21"/>
      <c r="X153" s="21"/>
      <c r="Y153" s="21"/>
    </row>
    <row r="154" customFormat="false" ht="15.75" hidden="false" customHeight="true" outlineLevel="0" collapsed="false">
      <c r="A154" s="19"/>
      <c r="B154" s="21"/>
      <c r="C154" s="21"/>
      <c r="D154" s="29"/>
      <c r="E154" s="6"/>
      <c r="F154" s="21"/>
      <c r="H154" s="29"/>
      <c r="I154" s="21"/>
      <c r="J154" s="21"/>
      <c r="K154" s="21"/>
      <c r="L154" s="21"/>
      <c r="M154" s="21"/>
      <c r="N154" s="21"/>
      <c r="O154" s="21"/>
      <c r="P154" s="21"/>
      <c r="Q154" s="29" t="s">
        <v>62</v>
      </c>
      <c r="R154" s="30" t="s">
        <v>90</v>
      </c>
      <c r="S154" s="21"/>
      <c r="T154" s="21"/>
      <c r="U154" s="21"/>
      <c r="V154" s="21"/>
      <c r="W154" s="21"/>
      <c r="X154" s="21"/>
      <c r="Y154" s="21"/>
    </row>
    <row r="155" customFormat="false" ht="15.75" hidden="false" customHeight="true" outlineLevel="0" collapsed="false">
      <c r="A155" s="19"/>
      <c r="B155" s="21"/>
      <c r="C155" s="21"/>
      <c r="D155" s="29"/>
      <c r="E155" s="6"/>
      <c r="F155" s="21"/>
      <c r="H155" s="29"/>
      <c r="I155" s="21"/>
      <c r="J155" s="21"/>
      <c r="K155" s="21"/>
      <c r="L155" s="21"/>
      <c r="M155" s="21"/>
      <c r="N155" s="21"/>
      <c r="O155" s="21"/>
      <c r="P155" s="21"/>
      <c r="Q155" s="29" t="s">
        <v>92</v>
      </c>
      <c r="R155" s="30" t="s">
        <v>91</v>
      </c>
      <c r="S155" s="21"/>
      <c r="T155" s="21"/>
      <c r="U155" s="21"/>
      <c r="V155" s="21"/>
      <c r="W155" s="21"/>
      <c r="X155" s="21"/>
      <c r="Y155" s="21"/>
    </row>
    <row r="156" customFormat="false" ht="15.75" hidden="false" customHeight="true" outlineLevel="0" collapsed="false">
      <c r="A156" s="19"/>
      <c r="B156" s="21"/>
      <c r="C156" s="21"/>
      <c r="D156" s="29"/>
      <c r="E156" s="6"/>
      <c r="F156" s="21"/>
      <c r="H156" s="29"/>
      <c r="I156" s="21"/>
      <c r="J156" s="21"/>
      <c r="K156" s="21"/>
      <c r="L156" s="21"/>
      <c r="M156" s="21"/>
      <c r="N156" s="21"/>
      <c r="O156" s="21"/>
      <c r="P156" s="21"/>
      <c r="Q156" s="29" t="s">
        <v>38</v>
      </c>
      <c r="R156" s="30" t="s">
        <v>89</v>
      </c>
      <c r="S156" s="21"/>
      <c r="T156" s="21"/>
      <c r="U156" s="21"/>
      <c r="V156" s="21"/>
      <c r="W156" s="21"/>
      <c r="X156" s="21"/>
      <c r="Y156" s="21"/>
    </row>
    <row r="157" customFormat="false" ht="15.75" hidden="false" customHeight="true" outlineLevel="0" collapsed="false">
      <c r="A157" s="19"/>
      <c r="B157" s="21"/>
      <c r="C157" s="21"/>
      <c r="D157" s="29"/>
      <c r="E157" s="6"/>
      <c r="F157" s="21"/>
      <c r="H157" s="29"/>
      <c r="I157" s="21"/>
      <c r="J157" s="21"/>
      <c r="K157" s="21"/>
      <c r="L157" s="21"/>
      <c r="M157" s="21"/>
      <c r="N157" s="21"/>
      <c r="O157" s="21"/>
      <c r="P157" s="21"/>
      <c r="Q157" s="29" t="s">
        <v>40</v>
      </c>
      <c r="R157" s="30" t="s">
        <v>90</v>
      </c>
      <c r="S157" s="21"/>
      <c r="T157" s="21"/>
      <c r="U157" s="21"/>
      <c r="V157" s="21"/>
      <c r="W157" s="21"/>
      <c r="X157" s="21"/>
      <c r="Y157" s="21"/>
    </row>
    <row r="158" customFormat="false" ht="15.75" hidden="false" customHeight="true" outlineLevel="0" collapsed="false">
      <c r="A158" s="19"/>
      <c r="B158" s="21"/>
      <c r="C158" s="21"/>
      <c r="D158" s="29"/>
      <c r="E158" s="6"/>
      <c r="F158" s="21"/>
      <c r="H158" s="29"/>
      <c r="I158" s="21"/>
      <c r="J158" s="21"/>
      <c r="K158" s="21"/>
      <c r="L158" s="21"/>
      <c r="M158" s="21"/>
      <c r="N158" s="21"/>
      <c r="O158" s="21"/>
      <c r="P158" s="21"/>
      <c r="Q158" s="29" t="s">
        <v>43</v>
      </c>
      <c r="R158" s="30" t="s">
        <v>91</v>
      </c>
      <c r="S158" s="21"/>
      <c r="T158" s="21"/>
      <c r="U158" s="21"/>
      <c r="V158" s="21"/>
      <c r="W158" s="21"/>
      <c r="X158" s="21"/>
      <c r="Y158" s="21"/>
    </row>
    <row r="159" customFormat="false" ht="15.75" hidden="false" customHeight="true" outlineLevel="0" collapsed="false">
      <c r="A159" s="19"/>
      <c r="B159" s="21"/>
      <c r="C159" s="21"/>
      <c r="D159" s="29"/>
      <c r="E159" s="6"/>
      <c r="F159" s="21"/>
      <c r="H159" s="29"/>
      <c r="I159" s="21"/>
      <c r="J159" s="21"/>
      <c r="K159" s="21"/>
      <c r="L159" s="21"/>
      <c r="M159" s="21"/>
      <c r="N159" s="21"/>
      <c r="O159" s="21"/>
      <c r="P159" s="21"/>
      <c r="Q159" s="29" t="s">
        <v>60</v>
      </c>
      <c r="R159" s="30" t="s">
        <v>89</v>
      </c>
      <c r="S159" s="21"/>
      <c r="T159" s="21"/>
      <c r="U159" s="21"/>
      <c r="V159" s="21"/>
      <c r="W159" s="21"/>
      <c r="X159" s="21"/>
      <c r="Y159" s="21"/>
    </row>
    <row r="160" customFormat="false" ht="15.75" hidden="false" customHeight="true" outlineLevel="0" collapsed="false">
      <c r="A160" s="19"/>
      <c r="B160" s="21"/>
      <c r="C160" s="21"/>
      <c r="D160" s="29"/>
      <c r="E160" s="6"/>
      <c r="F160" s="21"/>
      <c r="H160" s="29"/>
      <c r="I160" s="21"/>
      <c r="J160" s="21"/>
      <c r="K160" s="21"/>
      <c r="L160" s="21"/>
      <c r="M160" s="21"/>
      <c r="N160" s="21"/>
      <c r="O160" s="21"/>
      <c r="P160" s="21"/>
      <c r="Q160" s="29" t="s">
        <v>65</v>
      </c>
      <c r="R160" s="30" t="s">
        <v>90</v>
      </c>
      <c r="S160" s="21"/>
      <c r="T160" s="21"/>
      <c r="U160" s="21"/>
      <c r="V160" s="21"/>
      <c r="W160" s="21"/>
      <c r="X160" s="21"/>
      <c r="Y160" s="21"/>
    </row>
    <row r="161" customFormat="false" ht="15.75" hidden="false" customHeight="true" outlineLevel="0" collapsed="false">
      <c r="A161" s="19"/>
      <c r="B161" s="21"/>
      <c r="C161" s="21"/>
      <c r="D161" s="29"/>
      <c r="E161" s="6"/>
      <c r="F161" s="21"/>
      <c r="H161" s="29"/>
      <c r="I161" s="21"/>
      <c r="J161" s="21"/>
      <c r="K161" s="21"/>
      <c r="L161" s="21"/>
      <c r="M161" s="21"/>
      <c r="N161" s="21"/>
      <c r="O161" s="21"/>
      <c r="P161" s="21"/>
      <c r="Q161" s="29" t="s">
        <v>37</v>
      </c>
      <c r="R161" s="30" t="s">
        <v>91</v>
      </c>
      <c r="S161" s="21"/>
      <c r="T161" s="21"/>
      <c r="U161" s="21"/>
      <c r="V161" s="21"/>
      <c r="W161" s="21"/>
      <c r="X161" s="21"/>
      <c r="Y161" s="21"/>
    </row>
    <row r="162" customFormat="false" ht="15.75" hidden="false" customHeight="true" outlineLevel="0" collapsed="false">
      <c r="A162" s="19"/>
      <c r="B162" s="21"/>
      <c r="C162" s="21"/>
      <c r="D162" s="29"/>
      <c r="E162" s="6"/>
      <c r="F162" s="21"/>
      <c r="H162" s="29"/>
      <c r="I162" s="21"/>
      <c r="J162" s="21"/>
      <c r="K162" s="21"/>
      <c r="L162" s="21"/>
      <c r="M162" s="21"/>
      <c r="N162" s="21"/>
      <c r="O162" s="21"/>
      <c r="P162" s="21"/>
      <c r="Q162" s="29" t="s">
        <v>49</v>
      </c>
      <c r="R162" s="30" t="s">
        <v>89</v>
      </c>
      <c r="S162" s="21"/>
      <c r="T162" s="21"/>
      <c r="U162" s="21"/>
      <c r="V162" s="21"/>
      <c r="W162" s="21"/>
      <c r="X162" s="21"/>
      <c r="Y162" s="21"/>
    </row>
    <row r="163" customFormat="false" ht="15.75" hidden="false" customHeight="true" outlineLevel="0" collapsed="false">
      <c r="A163" s="19"/>
      <c r="B163" s="21"/>
      <c r="C163" s="21"/>
      <c r="D163" s="29"/>
      <c r="E163" s="6"/>
      <c r="F163" s="21"/>
      <c r="H163" s="29"/>
      <c r="I163" s="21"/>
      <c r="J163" s="21"/>
      <c r="K163" s="21"/>
      <c r="L163" s="21"/>
      <c r="M163" s="21"/>
      <c r="N163" s="21"/>
      <c r="O163" s="21"/>
      <c r="P163" s="21"/>
      <c r="Q163" s="29" t="s">
        <v>69</v>
      </c>
      <c r="R163" s="30" t="s">
        <v>90</v>
      </c>
      <c r="S163" s="21"/>
      <c r="T163" s="21"/>
      <c r="U163" s="21"/>
      <c r="V163" s="21"/>
      <c r="W163" s="21"/>
      <c r="X163" s="21"/>
      <c r="Y163" s="21"/>
    </row>
    <row r="164" customFormat="false" ht="15.75" hidden="false" customHeight="true" outlineLevel="0" collapsed="false">
      <c r="A164" s="19"/>
      <c r="B164" s="21"/>
      <c r="C164" s="21"/>
      <c r="D164" s="29"/>
      <c r="E164" s="6"/>
      <c r="F164" s="21"/>
      <c r="H164" s="29"/>
      <c r="I164" s="21"/>
      <c r="J164" s="21"/>
      <c r="K164" s="21"/>
      <c r="L164" s="21"/>
      <c r="M164" s="21"/>
      <c r="N164" s="21"/>
      <c r="O164" s="21"/>
      <c r="P164" s="21"/>
      <c r="Q164" s="29" t="s">
        <v>67</v>
      </c>
      <c r="R164" s="30" t="s">
        <v>91</v>
      </c>
      <c r="S164" s="21"/>
      <c r="T164" s="21"/>
      <c r="U164" s="21"/>
      <c r="V164" s="21"/>
      <c r="W164" s="21"/>
      <c r="X164" s="21"/>
      <c r="Y164" s="21"/>
    </row>
    <row r="165" customFormat="false" ht="15.75" hidden="false" customHeight="true" outlineLevel="0" collapsed="false">
      <c r="A165" s="19"/>
      <c r="B165" s="21"/>
      <c r="C165" s="21"/>
      <c r="D165" s="29"/>
      <c r="E165" s="6"/>
      <c r="F165" s="21"/>
      <c r="H165" s="29"/>
      <c r="I165" s="21"/>
      <c r="J165" s="21"/>
      <c r="K165" s="21"/>
      <c r="L165" s="21"/>
      <c r="M165" s="21"/>
      <c r="N165" s="21"/>
      <c r="O165" s="21"/>
      <c r="P165" s="21"/>
      <c r="Q165" s="29" t="s">
        <v>32</v>
      </c>
      <c r="R165" s="30" t="s">
        <v>89</v>
      </c>
      <c r="S165" s="21"/>
      <c r="T165" s="21"/>
      <c r="U165" s="21"/>
      <c r="V165" s="21"/>
      <c r="W165" s="21"/>
      <c r="X165" s="21"/>
      <c r="Y165" s="21"/>
    </row>
    <row r="166" customFormat="false" ht="15.75" hidden="false" customHeight="true" outlineLevel="0" collapsed="false">
      <c r="A166" s="19"/>
      <c r="B166" s="21"/>
      <c r="C166" s="21"/>
      <c r="D166" s="29"/>
      <c r="E166" s="6"/>
      <c r="F166" s="21"/>
      <c r="H166" s="29"/>
      <c r="I166" s="21"/>
      <c r="J166" s="21"/>
      <c r="K166" s="21"/>
      <c r="L166" s="21"/>
      <c r="M166" s="21"/>
      <c r="N166" s="21"/>
      <c r="O166" s="21"/>
      <c r="P166" s="21"/>
      <c r="Q166" s="29" t="s">
        <v>33</v>
      </c>
      <c r="R166" s="30" t="s">
        <v>90</v>
      </c>
      <c r="S166" s="21"/>
      <c r="T166" s="21"/>
      <c r="U166" s="21"/>
      <c r="V166" s="21"/>
      <c r="W166" s="21"/>
      <c r="X166" s="21"/>
      <c r="Y166" s="21"/>
    </row>
    <row r="167" customFormat="false" ht="15.75" hidden="false" customHeight="true" outlineLevel="0" collapsed="false">
      <c r="A167" s="19"/>
      <c r="B167" s="21"/>
      <c r="C167" s="21"/>
      <c r="D167" s="29"/>
      <c r="E167" s="6"/>
      <c r="F167" s="21"/>
      <c r="H167" s="29"/>
      <c r="I167" s="21"/>
      <c r="J167" s="21"/>
      <c r="K167" s="21"/>
      <c r="L167" s="21"/>
      <c r="M167" s="21"/>
      <c r="N167" s="21"/>
      <c r="O167" s="21"/>
      <c r="P167" s="21"/>
      <c r="Q167" s="21" t="s">
        <v>79</v>
      </c>
      <c r="R167" s="21" t="s">
        <v>90</v>
      </c>
      <c r="S167" s="21"/>
      <c r="T167" s="21"/>
      <c r="U167" s="21"/>
      <c r="V167" s="21"/>
      <c r="W167" s="21"/>
      <c r="X167" s="21"/>
      <c r="Y167" s="21"/>
    </row>
    <row r="168" customFormat="false" ht="15.75" hidden="false" customHeight="true" outlineLevel="0" collapsed="false">
      <c r="A168" s="19"/>
      <c r="B168" s="21"/>
      <c r="C168" s="21"/>
      <c r="D168" s="29"/>
      <c r="E168" s="6"/>
      <c r="F168" s="21"/>
      <c r="H168" s="29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customFormat="false" ht="15.75" hidden="false" customHeight="true" outlineLevel="0" collapsed="false">
      <c r="A169" s="19"/>
      <c r="B169" s="21"/>
      <c r="C169" s="21"/>
      <c r="D169" s="29"/>
      <c r="E169" s="6"/>
      <c r="F169" s="21"/>
      <c r="H169" s="29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customFormat="false" ht="15.75" hidden="false" customHeight="true" outlineLevel="0" collapsed="false">
      <c r="A170" s="19"/>
      <c r="B170" s="21"/>
      <c r="C170" s="21"/>
      <c r="D170" s="29"/>
      <c r="E170" s="6"/>
      <c r="F170" s="21"/>
      <c r="H170" s="29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customFormat="false" ht="15.75" hidden="false" customHeight="true" outlineLevel="0" collapsed="false">
      <c r="A171" s="19"/>
      <c r="B171" s="21"/>
      <c r="C171" s="21"/>
      <c r="D171" s="29"/>
      <c r="E171" s="6"/>
      <c r="F171" s="21"/>
      <c r="H171" s="29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customFormat="false" ht="15.75" hidden="false" customHeight="true" outlineLevel="0" collapsed="false">
      <c r="A172" s="19"/>
      <c r="B172" s="21"/>
      <c r="C172" s="21"/>
      <c r="D172" s="29"/>
      <c r="E172" s="6"/>
      <c r="F172" s="21"/>
      <c r="H172" s="29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customFormat="false" ht="15.75" hidden="false" customHeight="true" outlineLevel="0" collapsed="false">
      <c r="A173" s="19"/>
      <c r="B173" s="21"/>
      <c r="C173" s="21"/>
      <c r="D173" s="29"/>
      <c r="E173" s="6"/>
      <c r="F173" s="21"/>
      <c r="H173" s="29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customFormat="false" ht="15.75" hidden="false" customHeight="true" outlineLevel="0" collapsed="false">
      <c r="A174" s="19"/>
      <c r="B174" s="21"/>
      <c r="C174" s="21"/>
      <c r="D174" s="29"/>
      <c r="E174" s="6"/>
      <c r="F174" s="21"/>
      <c r="H174" s="29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customFormat="false" ht="15.75" hidden="false" customHeight="true" outlineLevel="0" collapsed="false">
      <c r="A175" s="19"/>
      <c r="B175" s="21"/>
      <c r="C175" s="21"/>
      <c r="D175" s="29"/>
      <c r="E175" s="6"/>
      <c r="F175" s="21"/>
      <c r="H175" s="29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customFormat="false" ht="15.75" hidden="false" customHeight="true" outlineLevel="0" collapsed="false">
      <c r="A176" s="19"/>
      <c r="B176" s="21"/>
      <c r="C176" s="21"/>
      <c r="D176" s="29"/>
      <c r="E176" s="6"/>
      <c r="F176" s="21"/>
      <c r="G176" s="21"/>
      <c r="H176" s="29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customFormat="false" ht="15.75" hidden="false" customHeight="true" outlineLevel="0" collapsed="false">
      <c r="A177" s="19"/>
      <c r="B177" s="21"/>
      <c r="C177" s="21"/>
      <c r="D177" s="29"/>
      <c r="E177" s="6"/>
      <c r="F177" s="21"/>
      <c r="G177" s="21"/>
      <c r="H177" s="29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customFormat="false" ht="15.75" hidden="false" customHeight="true" outlineLevel="0" collapsed="false">
      <c r="A178" s="19"/>
      <c r="B178" s="21"/>
      <c r="C178" s="21"/>
      <c r="D178" s="29"/>
      <c r="E178" s="6"/>
      <c r="F178" s="21"/>
      <c r="G178" s="21"/>
      <c r="H178" s="29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customFormat="false" ht="15.75" hidden="false" customHeight="true" outlineLevel="0" collapsed="false">
      <c r="A179" s="19"/>
      <c r="B179" s="21"/>
      <c r="C179" s="21"/>
      <c r="D179" s="29"/>
      <c r="E179" s="6"/>
      <c r="F179" s="21"/>
      <c r="G179" s="21"/>
      <c r="H179" s="29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customFormat="false" ht="15.75" hidden="false" customHeight="true" outlineLevel="0" collapsed="false">
      <c r="A180" s="19"/>
      <c r="B180" s="21"/>
      <c r="C180" s="21"/>
      <c r="D180" s="29"/>
      <c r="E180" s="6"/>
      <c r="F180" s="21"/>
      <c r="G180" s="21"/>
      <c r="H180" s="29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customFormat="false" ht="15.75" hidden="false" customHeight="true" outlineLevel="0" collapsed="false">
      <c r="A181" s="19"/>
      <c r="B181" s="21"/>
      <c r="C181" s="21"/>
      <c r="D181" s="29"/>
      <c r="E181" s="6"/>
      <c r="F181" s="21"/>
      <c r="G181" s="21"/>
      <c r="H181" s="29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customFormat="false" ht="15.75" hidden="false" customHeight="true" outlineLevel="0" collapsed="false">
      <c r="A182" s="19"/>
      <c r="B182" s="21"/>
      <c r="C182" s="21"/>
      <c r="D182" s="29"/>
      <c r="E182" s="6"/>
      <c r="F182" s="21"/>
      <c r="G182" s="21"/>
      <c r="H182" s="29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customFormat="false" ht="15.75" hidden="false" customHeight="true" outlineLevel="0" collapsed="false">
      <c r="A183" s="19"/>
      <c r="B183" s="21"/>
      <c r="C183" s="21"/>
      <c r="D183" s="29"/>
      <c r="E183" s="6"/>
      <c r="F183" s="21"/>
      <c r="G183" s="21"/>
      <c r="H183" s="29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customFormat="false" ht="15.75" hidden="false" customHeight="true" outlineLevel="0" collapsed="false">
      <c r="A184" s="19"/>
      <c r="B184" s="21"/>
      <c r="C184" s="21"/>
      <c r="D184" s="29"/>
      <c r="E184" s="6"/>
      <c r="F184" s="21"/>
      <c r="G184" s="21"/>
      <c r="H184" s="29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customFormat="false" ht="15.75" hidden="false" customHeight="true" outlineLevel="0" collapsed="false">
      <c r="A185" s="19"/>
      <c r="B185" s="21"/>
      <c r="C185" s="21"/>
      <c r="D185" s="29"/>
      <c r="E185" s="6"/>
      <c r="F185" s="21"/>
      <c r="G185" s="21"/>
      <c r="H185" s="29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customFormat="false" ht="15.75" hidden="false" customHeight="true" outlineLevel="0" collapsed="false">
      <c r="A186" s="19"/>
      <c r="B186" s="21"/>
      <c r="C186" s="21"/>
      <c r="D186" s="29"/>
      <c r="E186" s="6"/>
      <c r="F186" s="21"/>
      <c r="G186" s="21"/>
      <c r="H186" s="29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customFormat="false" ht="15.75" hidden="false" customHeight="true" outlineLevel="0" collapsed="false">
      <c r="A187" s="19"/>
      <c r="B187" s="21"/>
      <c r="C187" s="21"/>
      <c r="D187" s="29"/>
      <c r="E187" s="6"/>
      <c r="F187" s="21"/>
      <c r="G187" s="21"/>
      <c r="H187" s="29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customFormat="false" ht="15.75" hidden="false" customHeight="true" outlineLevel="0" collapsed="false">
      <c r="A188" s="19"/>
      <c r="B188" s="21"/>
      <c r="C188" s="21"/>
      <c r="D188" s="29"/>
      <c r="E188" s="6"/>
      <c r="F188" s="21"/>
      <c r="G188" s="21"/>
      <c r="H188" s="29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customFormat="false" ht="15.75" hidden="false" customHeight="true" outlineLevel="0" collapsed="false">
      <c r="A189" s="19"/>
      <c r="B189" s="21"/>
      <c r="C189" s="21"/>
      <c r="D189" s="29"/>
      <c r="E189" s="6"/>
      <c r="F189" s="21"/>
      <c r="G189" s="21"/>
      <c r="H189" s="29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customFormat="false" ht="15.75" hidden="false" customHeight="true" outlineLevel="0" collapsed="false">
      <c r="A190" s="19"/>
      <c r="B190" s="21"/>
      <c r="C190" s="21"/>
      <c r="D190" s="29"/>
      <c r="E190" s="6"/>
      <c r="F190" s="21"/>
      <c r="G190" s="21"/>
      <c r="H190" s="29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customFormat="false" ht="15.75" hidden="false" customHeight="true" outlineLevel="0" collapsed="false">
      <c r="A191" s="19"/>
      <c r="B191" s="21"/>
      <c r="C191" s="21"/>
      <c r="D191" s="29"/>
      <c r="E191" s="6"/>
      <c r="F191" s="21"/>
      <c r="G191" s="21"/>
      <c r="H191" s="29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customFormat="false" ht="15.75" hidden="false" customHeight="true" outlineLevel="0" collapsed="false">
      <c r="A192" s="19"/>
      <c r="B192" s="21"/>
      <c r="C192" s="21"/>
      <c r="D192" s="29"/>
      <c r="E192" s="6"/>
      <c r="F192" s="21"/>
      <c r="G192" s="21"/>
      <c r="H192" s="29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customFormat="false" ht="15.75" hidden="false" customHeight="true" outlineLevel="0" collapsed="false">
      <c r="A193" s="19"/>
      <c r="B193" s="21"/>
      <c r="C193" s="21"/>
      <c r="D193" s="29"/>
      <c r="E193" s="6"/>
      <c r="F193" s="21"/>
      <c r="G193" s="21"/>
      <c r="H193" s="29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customFormat="false" ht="15.75" hidden="false" customHeight="true" outlineLevel="0" collapsed="false">
      <c r="A194" s="19"/>
      <c r="B194" s="21"/>
      <c r="C194" s="21"/>
      <c r="D194" s="29"/>
      <c r="E194" s="6"/>
      <c r="F194" s="21"/>
      <c r="G194" s="21"/>
      <c r="H194" s="29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customFormat="false" ht="15.75" hidden="false" customHeight="true" outlineLevel="0" collapsed="false">
      <c r="A195" s="19"/>
      <c r="B195" s="21"/>
      <c r="C195" s="21"/>
      <c r="D195" s="29"/>
      <c r="E195" s="6"/>
      <c r="F195" s="21"/>
      <c r="G195" s="21"/>
      <c r="H195" s="29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customFormat="false" ht="15.75" hidden="false" customHeight="true" outlineLevel="0" collapsed="false">
      <c r="A196" s="19"/>
      <c r="B196" s="21"/>
      <c r="C196" s="21"/>
      <c r="D196" s="29"/>
      <c r="E196" s="6"/>
      <c r="F196" s="21"/>
      <c r="G196" s="21"/>
      <c r="H196" s="29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customFormat="false" ht="15.75" hidden="false" customHeight="true" outlineLevel="0" collapsed="false">
      <c r="A197" s="19"/>
      <c r="B197" s="21"/>
      <c r="C197" s="21"/>
      <c r="D197" s="29"/>
      <c r="E197" s="6"/>
      <c r="F197" s="21"/>
      <c r="G197" s="21"/>
      <c r="H197" s="29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customFormat="false" ht="15.75" hidden="false" customHeight="true" outlineLevel="0" collapsed="false">
      <c r="A198" s="19"/>
      <c r="B198" s="21"/>
      <c r="C198" s="21"/>
      <c r="D198" s="29"/>
      <c r="E198" s="6"/>
      <c r="F198" s="21"/>
      <c r="G198" s="21"/>
      <c r="H198" s="29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customFormat="false" ht="15.75" hidden="false" customHeight="true" outlineLevel="0" collapsed="false">
      <c r="A199" s="19"/>
      <c r="B199" s="21"/>
      <c r="C199" s="21"/>
      <c r="D199" s="29"/>
      <c r="E199" s="6"/>
      <c r="F199" s="21"/>
      <c r="G199" s="21"/>
      <c r="H199" s="29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customFormat="false" ht="15.75" hidden="false" customHeight="true" outlineLevel="0" collapsed="false">
      <c r="A200" s="19"/>
      <c r="B200" s="21"/>
      <c r="C200" s="21"/>
      <c r="D200" s="29"/>
      <c r="E200" s="6"/>
      <c r="F200" s="21"/>
      <c r="G200" s="21"/>
      <c r="H200" s="29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customFormat="false" ht="15.75" hidden="false" customHeight="true" outlineLevel="0" collapsed="false">
      <c r="A201" s="19"/>
      <c r="B201" s="21"/>
      <c r="C201" s="21"/>
      <c r="D201" s="29"/>
      <c r="E201" s="6"/>
      <c r="F201" s="21"/>
      <c r="G201" s="21"/>
      <c r="H201" s="29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customFormat="false" ht="15.75" hidden="false" customHeight="true" outlineLevel="0" collapsed="false">
      <c r="A202" s="19"/>
      <c r="B202" s="21"/>
      <c r="C202" s="21"/>
      <c r="D202" s="29"/>
      <c r="E202" s="6"/>
      <c r="F202" s="21"/>
      <c r="G202" s="21"/>
      <c r="H202" s="29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customFormat="false" ht="15.75" hidden="false" customHeight="true" outlineLevel="0" collapsed="false">
      <c r="A203" s="19"/>
      <c r="B203" s="21"/>
      <c r="C203" s="21"/>
      <c r="D203" s="29"/>
      <c r="E203" s="6"/>
      <c r="F203" s="21"/>
      <c r="G203" s="21"/>
      <c r="H203" s="29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customFormat="false" ht="15.75" hidden="false" customHeight="true" outlineLevel="0" collapsed="false">
      <c r="A204" s="19"/>
      <c r="B204" s="21"/>
      <c r="C204" s="21"/>
      <c r="D204" s="29"/>
      <c r="E204" s="6"/>
      <c r="F204" s="21"/>
      <c r="G204" s="21"/>
      <c r="H204" s="29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customFormat="false" ht="15.75" hidden="false" customHeight="true" outlineLevel="0" collapsed="false">
      <c r="A205" s="19"/>
      <c r="B205" s="21"/>
      <c r="C205" s="21"/>
      <c r="D205" s="29"/>
      <c r="E205" s="6"/>
      <c r="F205" s="21"/>
      <c r="G205" s="21"/>
      <c r="H205" s="29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customFormat="false" ht="15.75" hidden="false" customHeight="true" outlineLevel="0" collapsed="false">
      <c r="A206" s="19"/>
      <c r="B206" s="21"/>
      <c r="C206" s="21"/>
      <c r="D206" s="29"/>
      <c r="E206" s="6"/>
      <c r="F206" s="21"/>
      <c r="G206" s="21"/>
      <c r="H206" s="29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customFormat="false" ht="15.75" hidden="false" customHeight="true" outlineLevel="0" collapsed="false">
      <c r="A207" s="19"/>
      <c r="B207" s="21"/>
      <c r="C207" s="21"/>
      <c r="D207" s="29"/>
      <c r="E207" s="6"/>
      <c r="F207" s="21"/>
      <c r="G207" s="21"/>
      <c r="H207" s="29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customFormat="false" ht="15.75" hidden="false" customHeight="true" outlineLevel="0" collapsed="false">
      <c r="A208" s="19"/>
      <c r="B208" s="21"/>
      <c r="C208" s="21"/>
      <c r="D208" s="29"/>
      <c r="E208" s="6"/>
      <c r="F208" s="21"/>
      <c r="G208" s="21"/>
      <c r="H208" s="29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customFormat="false" ht="15.75" hidden="false" customHeight="true" outlineLevel="0" collapsed="false">
      <c r="A209" s="19"/>
      <c r="B209" s="21"/>
      <c r="C209" s="21"/>
      <c r="D209" s="29"/>
      <c r="E209" s="6"/>
      <c r="F209" s="21"/>
      <c r="G209" s="21"/>
      <c r="H209" s="29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customFormat="false" ht="15.75" hidden="false" customHeight="true" outlineLevel="0" collapsed="false">
      <c r="A210" s="19"/>
      <c r="B210" s="21"/>
      <c r="C210" s="21"/>
      <c r="D210" s="29"/>
      <c r="E210" s="6"/>
      <c r="F210" s="21"/>
      <c r="G210" s="21"/>
      <c r="H210" s="29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customFormat="false" ht="15.75" hidden="false" customHeight="true" outlineLevel="0" collapsed="false">
      <c r="A211" s="19"/>
      <c r="B211" s="21"/>
      <c r="C211" s="21"/>
      <c r="D211" s="29"/>
      <c r="E211" s="6"/>
      <c r="F211" s="21"/>
      <c r="G211" s="21"/>
      <c r="H211" s="29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customFormat="false" ht="15.75" hidden="false" customHeight="true" outlineLevel="0" collapsed="false">
      <c r="A212" s="19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customFormat="false" ht="15.75" hidden="false" customHeight="true" outlineLevel="0" collapsed="false">
      <c r="A213" s="19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customFormat="false" ht="15.75" hidden="false" customHeight="true" outlineLevel="0" collapsed="false">
      <c r="A214" s="19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customFormat="false" ht="15.75" hidden="false" customHeight="true" outlineLevel="0" collapsed="false">
      <c r="A215" s="19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customFormat="false" ht="15.75" hidden="false" customHeight="true" outlineLevel="0" collapsed="false">
      <c r="A216" s="19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customFormat="false" ht="15.75" hidden="false" customHeight="true" outlineLevel="0" collapsed="false">
      <c r="A217" s="19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customFormat="false" ht="15.75" hidden="false" customHeight="true" outlineLevel="0" collapsed="false">
      <c r="A218" s="19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customFormat="false" ht="15.75" hidden="false" customHeight="true" outlineLevel="0" collapsed="false">
      <c r="A219" s="19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customFormat="false" ht="15.75" hidden="false" customHeight="true" outlineLevel="0" collapsed="false">
      <c r="A220" s="19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customFormat="false" ht="15.75" hidden="false" customHeight="true" outlineLevel="0" collapsed="false">
      <c r="A221" s="19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customFormat="false" ht="15.75" hidden="false" customHeight="true" outlineLevel="0" collapsed="false">
      <c r="A222" s="19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customFormat="false" ht="15.75" hidden="false" customHeight="true" outlineLevel="0" collapsed="false">
      <c r="A223" s="19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customFormat="false" ht="15.75" hidden="false" customHeight="true" outlineLevel="0" collapsed="false">
      <c r="A224" s="19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customFormat="false" ht="15.75" hidden="false" customHeight="true" outlineLevel="0" collapsed="false">
      <c r="A225" s="19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customFormat="false" ht="15.75" hidden="false" customHeight="true" outlineLevel="0" collapsed="false">
      <c r="A226" s="19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customFormat="false" ht="15.75" hidden="false" customHeight="true" outlineLevel="0" collapsed="false">
      <c r="A227" s="19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customFormat="false" ht="15.75" hidden="false" customHeight="true" outlineLevel="0" collapsed="false">
      <c r="A228" s="19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customFormat="false" ht="15.75" hidden="false" customHeight="true" outlineLevel="0" collapsed="false">
      <c r="A229" s="19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customFormat="false" ht="15.75" hidden="false" customHeight="true" outlineLevel="0" collapsed="false">
      <c r="A230" s="19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customFormat="false" ht="15.75" hidden="false" customHeight="true" outlineLevel="0" collapsed="false">
      <c r="A231" s="19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customFormat="false" ht="15.75" hidden="false" customHeight="true" outlineLevel="0" collapsed="false">
      <c r="A232" s="19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customFormat="false" ht="15.75" hidden="false" customHeight="true" outlineLevel="0" collapsed="false">
      <c r="A233" s="19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customFormat="false" ht="15.75" hidden="false" customHeight="true" outlineLevel="0" collapsed="false">
      <c r="A234" s="19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customFormat="false" ht="15.75" hidden="false" customHeight="true" outlineLevel="0" collapsed="false">
      <c r="A235" s="19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customFormat="false" ht="15.75" hidden="false" customHeight="true" outlineLevel="0" collapsed="false">
      <c r="A236" s="19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customFormat="false" ht="15.75" hidden="false" customHeight="true" outlineLevel="0" collapsed="false">
      <c r="A237" s="19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customFormat="false" ht="15.75" hidden="false" customHeight="true" outlineLevel="0" collapsed="false">
      <c r="A238" s="19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customFormat="false" ht="15.75" hidden="false" customHeight="true" outlineLevel="0" collapsed="false">
      <c r="A239" s="19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customFormat="false" ht="15.75" hidden="false" customHeight="true" outlineLevel="0" collapsed="false">
      <c r="A240" s="19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customFormat="false" ht="15.75" hidden="false" customHeight="true" outlineLevel="0" collapsed="false">
      <c r="A241" s="19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customFormat="false" ht="15.75" hidden="false" customHeight="true" outlineLevel="0" collapsed="false">
      <c r="A242" s="19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customFormat="false" ht="15.75" hidden="false" customHeight="true" outlineLevel="0" collapsed="false">
      <c r="A243" s="19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customFormat="false" ht="15.75" hidden="false" customHeight="true" outlineLevel="0" collapsed="false">
      <c r="A244" s="19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customFormat="false" ht="15.75" hidden="false" customHeight="true" outlineLevel="0" collapsed="false">
      <c r="A245" s="19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customFormat="false" ht="15.75" hidden="false" customHeight="true" outlineLevel="0" collapsed="false">
      <c r="A246" s="19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customFormat="false" ht="15.75" hidden="false" customHeight="true" outlineLevel="0" collapsed="false">
      <c r="A247" s="19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customFormat="false" ht="15.75" hidden="false" customHeight="true" outlineLevel="0" collapsed="false">
      <c r="A248" s="19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customFormat="false" ht="15.75" hidden="false" customHeight="true" outlineLevel="0" collapsed="false">
      <c r="A249" s="19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customFormat="false" ht="15.75" hidden="false" customHeight="true" outlineLevel="0" collapsed="false">
      <c r="A250" s="19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customFormat="false" ht="15.75" hidden="false" customHeight="true" outlineLevel="0" collapsed="false">
      <c r="A251" s="19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customFormat="false" ht="15.75" hidden="false" customHeight="true" outlineLevel="0" collapsed="false">
      <c r="A252" s="19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customFormat="false" ht="15.75" hidden="false" customHeight="true" outlineLevel="0" collapsed="false">
      <c r="A253" s="19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customFormat="false" ht="15.75" hidden="false" customHeight="true" outlineLevel="0" collapsed="false">
      <c r="A254" s="19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customFormat="false" ht="15.75" hidden="false" customHeight="true" outlineLevel="0" collapsed="false">
      <c r="A255" s="19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customFormat="false" ht="15.75" hidden="false" customHeight="true" outlineLevel="0" collapsed="false">
      <c r="A256" s="19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customFormat="false" ht="15.75" hidden="false" customHeight="true" outlineLevel="0" collapsed="false">
      <c r="A257" s="19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customFormat="false" ht="15.75" hidden="false" customHeight="true" outlineLevel="0" collapsed="false">
      <c r="A258" s="19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customFormat="false" ht="15.75" hidden="false" customHeight="true" outlineLevel="0" collapsed="false">
      <c r="A259" s="19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customFormat="false" ht="15.75" hidden="false" customHeight="true" outlineLevel="0" collapsed="false">
      <c r="A260" s="19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customFormat="false" ht="15.75" hidden="false" customHeight="true" outlineLevel="0" collapsed="false">
      <c r="A261" s="19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customFormat="false" ht="15.75" hidden="false" customHeight="true" outlineLevel="0" collapsed="false">
      <c r="A262" s="19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customFormat="false" ht="15.75" hidden="false" customHeight="true" outlineLevel="0" collapsed="false">
      <c r="A263" s="19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customFormat="false" ht="15.75" hidden="false" customHeight="true" outlineLevel="0" collapsed="false">
      <c r="A264" s="19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customFormat="false" ht="15.75" hidden="false" customHeight="true" outlineLevel="0" collapsed="false">
      <c r="A265" s="19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customFormat="false" ht="15.75" hidden="false" customHeight="true" outlineLevel="0" collapsed="false">
      <c r="A266" s="19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customFormat="false" ht="15.75" hidden="false" customHeight="true" outlineLevel="0" collapsed="false">
      <c r="A267" s="19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customFormat="false" ht="15.75" hidden="false" customHeight="true" outlineLevel="0" collapsed="false">
      <c r="A268" s="19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customFormat="false" ht="15.75" hidden="false" customHeight="true" outlineLevel="0" collapsed="false">
      <c r="A269" s="19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customFormat="false" ht="15.75" hidden="false" customHeight="true" outlineLevel="0" collapsed="false">
      <c r="A270" s="19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customFormat="false" ht="15.75" hidden="false" customHeight="true" outlineLevel="0" collapsed="false">
      <c r="A271" s="19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customFormat="false" ht="15.75" hidden="false" customHeight="true" outlineLevel="0" collapsed="false">
      <c r="A272" s="19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customFormat="false" ht="15.75" hidden="false" customHeight="true" outlineLevel="0" collapsed="false">
      <c r="A273" s="19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customFormat="false" ht="15.75" hidden="false" customHeight="true" outlineLevel="0" collapsed="false">
      <c r="A274" s="19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customFormat="false" ht="15.75" hidden="false" customHeight="true" outlineLevel="0" collapsed="false">
      <c r="A275" s="19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customFormat="false" ht="15.75" hidden="false" customHeight="true" outlineLevel="0" collapsed="false">
      <c r="A276" s="19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customFormat="false" ht="15.75" hidden="false" customHeight="true" outlineLevel="0" collapsed="false">
      <c r="A277" s="19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customFormat="false" ht="15.75" hidden="false" customHeight="true" outlineLevel="0" collapsed="false">
      <c r="A278" s="19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customFormat="false" ht="15.75" hidden="false" customHeight="true" outlineLevel="0" collapsed="false">
      <c r="A279" s="19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customFormat="false" ht="15.75" hidden="false" customHeight="true" outlineLevel="0" collapsed="false">
      <c r="A280" s="19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customFormat="false" ht="15.75" hidden="false" customHeight="true" outlineLevel="0" collapsed="false">
      <c r="A281" s="19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customFormat="false" ht="15.75" hidden="false" customHeight="true" outlineLevel="0" collapsed="false">
      <c r="A282" s="19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customFormat="false" ht="15.75" hidden="false" customHeight="true" outlineLevel="0" collapsed="false">
      <c r="A283" s="19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customFormat="false" ht="15.75" hidden="false" customHeight="true" outlineLevel="0" collapsed="false">
      <c r="A284" s="19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customFormat="false" ht="15.75" hidden="false" customHeight="true" outlineLevel="0" collapsed="false">
      <c r="A285" s="19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customFormat="false" ht="15.75" hidden="false" customHeight="true" outlineLevel="0" collapsed="false">
      <c r="A286" s="19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customFormat="false" ht="15.75" hidden="false" customHeight="true" outlineLevel="0" collapsed="false">
      <c r="A287" s="19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customFormat="false" ht="15.75" hidden="false" customHeight="true" outlineLevel="0" collapsed="false">
      <c r="A288" s="19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customFormat="false" ht="15.75" hidden="false" customHeight="true" outlineLevel="0" collapsed="false">
      <c r="A289" s="19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customFormat="false" ht="15.75" hidden="false" customHeight="true" outlineLevel="0" collapsed="false">
      <c r="A290" s="19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customFormat="false" ht="15.75" hidden="false" customHeight="true" outlineLevel="0" collapsed="false">
      <c r="A291" s="19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customFormat="false" ht="15.75" hidden="false" customHeight="true" outlineLevel="0" collapsed="false">
      <c r="A292" s="19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customFormat="false" ht="15.75" hidden="false" customHeight="true" outlineLevel="0" collapsed="false">
      <c r="A293" s="19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customFormat="false" ht="15.75" hidden="false" customHeight="true" outlineLevel="0" collapsed="false">
      <c r="A294" s="19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customFormat="false" ht="15.75" hidden="false" customHeight="true" outlineLevel="0" collapsed="false">
      <c r="A295" s="19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customFormat="false" ht="15.75" hidden="false" customHeight="true" outlineLevel="0" collapsed="false">
      <c r="A296" s="19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customFormat="false" ht="15.75" hidden="false" customHeight="true" outlineLevel="0" collapsed="false">
      <c r="A297" s="19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customFormat="false" ht="15.75" hidden="false" customHeight="true" outlineLevel="0" collapsed="false">
      <c r="A298" s="19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customFormat="false" ht="15.75" hidden="false" customHeight="true" outlineLevel="0" collapsed="false">
      <c r="A299" s="19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customFormat="false" ht="15.75" hidden="false" customHeight="true" outlineLevel="0" collapsed="false">
      <c r="A300" s="19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customFormat="false" ht="15.75" hidden="false" customHeight="true" outlineLevel="0" collapsed="false">
      <c r="A301" s="19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customFormat="false" ht="15.75" hidden="false" customHeight="true" outlineLevel="0" collapsed="false">
      <c r="A302" s="19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customFormat="false" ht="15.75" hidden="false" customHeight="true" outlineLevel="0" collapsed="false">
      <c r="A303" s="19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customFormat="false" ht="15.75" hidden="false" customHeight="true" outlineLevel="0" collapsed="false">
      <c r="A304" s="19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customFormat="false" ht="15.75" hidden="false" customHeight="true" outlineLevel="0" collapsed="false">
      <c r="A305" s="19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customFormat="false" ht="15.75" hidden="false" customHeight="true" outlineLevel="0" collapsed="false">
      <c r="A306" s="19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customFormat="false" ht="15.75" hidden="false" customHeight="true" outlineLevel="0" collapsed="false">
      <c r="A307" s="19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customFormat="false" ht="15.75" hidden="false" customHeight="true" outlineLevel="0" collapsed="false">
      <c r="A308" s="19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customFormat="false" ht="15.75" hidden="false" customHeight="true" outlineLevel="0" collapsed="false">
      <c r="A309" s="19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customFormat="false" ht="15.75" hidden="false" customHeight="true" outlineLevel="0" collapsed="false">
      <c r="A310" s="19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customFormat="false" ht="15.75" hidden="false" customHeight="true" outlineLevel="0" collapsed="false">
      <c r="A311" s="19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customFormat="false" ht="15.75" hidden="false" customHeight="true" outlineLevel="0" collapsed="false">
      <c r="A312" s="19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customFormat="false" ht="15.75" hidden="false" customHeight="true" outlineLevel="0" collapsed="false">
      <c r="A313" s="19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customFormat="false" ht="15.75" hidden="false" customHeight="true" outlineLevel="0" collapsed="false">
      <c r="A314" s="19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customFormat="false" ht="15.75" hidden="false" customHeight="true" outlineLevel="0" collapsed="false">
      <c r="A315" s="19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customFormat="false" ht="15.75" hidden="false" customHeight="true" outlineLevel="0" collapsed="false">
      <c r="A316" s="19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customFormat="false" ht="15.75" hidden="false" customHeight="true" outlineLevel="0" collapsed="false">
      <c r="A317" s="19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customFormat="false" ht="15.75" hidden="false" customHeight="true" outlineLevel="0" collapsed="false">
      <c r="A318" s="19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customFormat="false" ht="15.75" hidden="false" customHeight="true" outlineLevel="0" collapsed="false">
      <c r="A319" s="19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customFormat="false" ht="15.75" hidden="false" customHeight="true" outlineLevel="0" collapsed="false">
      <c r="A320" s="19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customFormat="false" ht="15.75" hidden="false" customHeight="true" outlineLevel="0" collapsed="false">
      <c r="A321" s="19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customFormat="false" ht="15.75" hidden="false" customHeight="true" outlineLevel="0" collapsed="false">
      <c r="A322" s="19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customFormat="false" ht="15.75" hidden="false" customHeight="true" outlineLevel="0" collapsed="false">
      <c r="A323" s="19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customFormat="false" ht="15.75" hidden="false" customHeight="true" outlineLevel="0" collapsed="false">
      <c r="A324" s="19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customFormat="false" ht="15.75" hidden="false" customHeight="true" outlineLevel="0" collapsed="false">
      <c r="A325" s="19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customFormat="false" ht="15.75" hidden="false" customHeight="true" outlineLevel="0" collapsed="false">
      <c r="A326" s="19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customFormat="false" ht="15.75" hidden="false" customHeight="true" outlineLevel="0" collapsed="false">
      <c r="A327" s="19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customFormat="false" ht="15.75" hidden="false" customHeight="true" outlineLevel="0" collapsed="false">
      <c r="A328" s="19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customFormat="false" ht="15.75" hidden="false" customHeight="true" outlineLevel="0" collapsed="false">
      <c r="A329" s="19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customFormat="false" ht="15.75" hidden="false" customHeight="true" outlineLevel="0" collapsed="false">
      <c r="A330" s="19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customFormat="false" ht="15.75" hidden="false" customHeight="true" outlineLevel="0" collapsed="false">
      <c r="A331" s="19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customFormat="false" ht="15.75" hidden="false" customHeight="true" outlineLevel="0" collapsed="false">
      <c r="A332" s="19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customFormat="false" ht="15.75" hidden="false" customHeight="true" outlineLevel="0" collapsed="false">
      <c r="A333" s="19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customFormat="false" ht="15.75" hidden="false" customHeight="true" outlineLevel="0" collapsed="false">
      <c r="A334" s="19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customFormat="false" ht="15.75" hidden="false" customHeight="true" outlineLevel="0" collapsed="false">
      <c r="A335" s="19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customFormat="false" ht="15.75" hidden="false" customHeight="true" outlineLevel="0" collapsed="false">
      <c r="A336" s="19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customFormat="false" ht="15.75" hidden="false" customHeight="true" outlineLevel="0" collapsed="false">
      <c r="A337" s="19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customFormat="false" ht="15.75" hidden="false" customHeight="true" outlineLevel="0" collapsed="false">
      <c r="A338" s="19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customFormat="false" ht="15.75" hidden="false" customHeight="true" outlineLevel="0" collapsed="false">
      <c r="A339" s="19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customFormat="false" ht="15.75" hidden="false" customHeight="true" outlineLevel="0" collapsed="false">
      <c r="A340" s="19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customFormat="false" ht="15.75" hidden="false" customHeight="true" outlineLevel="0" collapsed="false">
      <c r="A341" s="19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customFormat="false" ht="15.75" hidden="false" customHeight="true" outlineLevel="0" collapsed="false">
      <c r="A342" s="19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customFormat="false" ht="15.75" hidden="false" customHeight="true" outlineLevel="0" collapsed="false">
      <c r="A343" s="19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customFormat="false" ht="15.75" hidden="false" customHeight="true" outlineLevel="0" collapsed="false">
      <c r="A344" s="19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customFormat="false" ht="15.75" hidden="false" customHeight="true" outlineLevel="0" collapsed="false">
      <c r="A345" s="19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customFormat="false" ht="15.75" hidden="false" customHeight="true" outlineLevel="0" collapsed="false">
      <c r="A346" s="19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customFormat="false" ht="15.75" hidden="false" customHeight="true" outlineLevel="0" collapsed="false">
      <c r="A347" s="19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customFormat="false" ht="15.75" hidden="false" customHeight="true" outlineLevel="0" collapsed="false">
      <c r="A348" s="19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customFormat="false" ht="15.75" hidden="false" customHeight="true" outlineLevel="0" collapsed="false">
      <c r="A349" s="19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customFormat="false" ht="15.75" hidden="false" customHeight="true" outlineLevel="0" collapsed="false">
      <c r="A350" s="19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customFormat="false" ht="15.75" hidden="false" customHeight="true" outlineLevel="0" collapsed="false">
      <c r="A351" s="19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customFormat="false" ht="15.75" hidden="false" customHeight="true" outlineLevel="0" collapsed="false">
      <c r="A352" s="19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customFormat="false" ht="15.75" hidden="false" customHeight="true" outlineLevel="0" collapsed="false">
      <c r="A353" s="19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customFormat="false" ht="15.75" hidden="false" customHeight="true" outlineLevel="0" collapsed="false">
      <c r="A354" s="19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customFormat="false" ht="15.75" hidden="false" customHeight="true" outlineLevel="0" collapsed="false">
      <c r="A355" s="19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customFormat="false" ht="15.75" hidden="false" customHeight="true" outlineLevel="0" collapsed="false">
      <c r="A356" s="19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customFormat="false" ht="15.75" hidden="false" customHeight="true" outlineLevel="0" collapsed="false">
      <c r="A357" s="19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customFormat="false" ht="15.75" hidden="false" customHeight="true" outlineLevel="0" collapsed="false">
      <c r="A358" s="19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customFormat="false" ht="15.75" hidden="false" customHeight="true" outlineLevel="0" collapsed="false">
      <c r="A359" s="19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customFormat="false" ht="15.75" hidden="false" customHeight="true" outlineLevel="0" collapsed="false">
      <c r="A360" s="19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customFormat="false" ht="15.75" hidden="false" customHeight="true" outlineLevel="0" collapsed="false">
      <c r="A361" s="19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customFormat="false" ht="15.75" hidden="false" customHeight="true" outlineLevel="0" collapsed="false">
      <c r="A362" s="19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customFormat="false" ht="15.75" hidden="false" customHeight="true" outlineLevel="0" collapsed="false">
      <c r="A363" s="19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customFormat="false" ht="15.75" hidden="false" customHeight="true" outlineLevel="0" collapsed="false">
      <c r="A364" s="19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customFormat="false" ht="15.75" hidden="false" customHeight="true" outlineLevel="0" collapsed="false">
      <c r="A365" s="19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customFormat="false" ht="15.75" hidden="false" customHeight="true" outlineLevel="0" collapsed="false">
      <c r="A366" s="19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customFormat="false" ht="15.75" hidden="false" customHeight="true" outlineLevel="0" collapsed="false">
      <c r="A367" s="19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customFormat="false" ht="15.75" hidden="false" customHeight="true" outlineLevel="0" collapsed="false">
      <c r="A368" s="19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customFormat="false" ht="15.75" hidden="false" customHeight="true" outlineLevel="0" collapsed="false">
      <c r="A369" s="19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customFormat="false" ht="15.75" hidden="false" customHeight="true" outlineLevel="0" collapsed="false">
      <c r="A370" s="19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customFormat="false" ht="15.75" hidden="false" customHeight="true" outlineLevel="0" collapsed="false">
      <c r="A371" s="19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customFormat="false" ht="15.75" hidden="false" customHeight="true" outlineLevel="0" collapsed="false">
      <c r="A372" s="19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customFormat="false" ht="15.75" hidden="false" customHeight="true" outlineLevel="0" collapsed="false">
      <c r="A373" s="19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customFormat="false" ht="15.75" hidden="false" customHeight="true" outlineLevel="0" collapsed="false">
      <c r="A374" s="19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customFormat="false" ht="15.75" hidden="false" customHeight="true" outlineLevel="0" collapsed="false">
      <c r="A375" s="19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customFormat="false" ht="15.75" hidden="false" customHeight="true" outlineLevel="0" collapsed="false">
      <c r="A376" s="19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customFormat="false" ht="15.75" hidden="false" customHeight="true" outlineLevel="0" collapsed="false">
      <c r="A377" s="19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customFormat="false" ht="15.75" hidden="false" customHeight="true" outlineLevel="0" collapsed="false">
      <c r="A378" s="19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customFormat="false" ht="15.75" hidden="false" customHeight="true" outlineLevel="0" collapsed="false">
      <c r="A379" s="19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customFormat="false" ht="15.75" hidden="false" customHeight="true" outlineLevel="0" collapsed="false">
      <c r="A380" s="19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customFormat="false" ht="15.75" hidden="false" customHeight="true" outlineLevel="0" collapsed="false">
      <c r="A381" s="19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customFormat="false" ht="15.75" hidden="false" customHeight="true" outlineLevel="0" collapsed="false">
      <c r="A382" s="19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customFormat="false" ht="15.75" hidden="false" customHeight="true" outlineLevel="0" collapsed="false">
      <c r="A383" s="19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customFormat="false" ht="15.75" hidden="false" customHeight="true" outlineLevel="0" collapsed="false">
      <c r="A384" s="19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customFormat="false" ht="15.75" hidden="false" customHeight="true" outlineLevel="0" collapsed="false">
      <c r="A385" s="19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customFormat="false" ht="15.75" hidden="false" customHeight="true" outlineLevel="0" collapsed="false">
      <c r="A386" s="19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customFormat="false" ht="15.75" hidden="false" customHeight="true" outlineLevel="0" collapsed="false">
      <c r="A387" s="19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customFormat="false" ht="15.75" hidden="false" customHeight="true" outlineLevel="0" collapsed="false">
      <c r="A388" s="19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customFormat="false" ht="15.75" hidden="false" customHeight="true" outlineLevel="0" collapsed="false">
      <c r="A389" s="19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customFormat="false" ht="15.75" hidden="false" customHeight="true" outlineLevel="0" collapsed="false">
      <c r="A390" s="19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customFormat="false" ht="15.75" hidden="false" customHeight="true" outlineLevel="0" collapsed="false">
      <c r="A391" s="19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customFormat="false" ht="15.75" hidden="false" customHeight="true" outlineLevel="0" collapsed="false">
      <c r="A392" s="19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customFormat="false" ht="15.75" hidden="false" customHeight="true" outlineLevel="0" collapsed="false">
      <c r="A393" s="19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customFormat="false" ht="15.75" hidden="false" customHeight="true" outlineLevel="0" collapsed="false">
      <c r="A394" s="19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customFormat="false" ht="15.75" hidden="false" customHeight="true" outlineLevel="0" collapsed="false">
      <c r="A395" s="19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customFormat="false" ht="15.75" hidden="false" customHeight="true" outlineLevel="0" collapsed="false">
      <c r="A396" s="19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customFormat="false" ht="15.75" hidden="false" customHeight="true" outlineLevel="0" collapsed="false">
      <c r="A397" s="19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customFormat="false" ht="15.75" hidden="false" customHeight="true" outlineLevel="0" collapsed="false">
      <c r="A398" s="19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customFormat="false" ht="15.75" hidden="false" customHeight="true" outlineLevel="0" collapsed="false">
      <c r="A399" s="19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customFormat="false" ht="15.75" hidden="false" customHeight="true" outlineLevel="0" collapsed="false">
      <c r="A400" s="19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customFormat="false" ht="15.75" hidden="false" customHeight="true" outlineLevel="0" collapsed="false">
      <c r="A401" s="19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customFormat="false" ht="15.75" hidden="false" customHeight="true" outlineLevel="0" collapsed="false">
      <c r="A402" s="19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customFormat="false" ht="15.75" hidden="false" customHeight="true" outlineLevel="0" collapsed="false">
      <c r="A403" s="19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customFormat="false" ht="15.75" hidden="false" customHeight="true" outlineLevel="0" collapsed="false">
      <c r="A404" s="19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customFormat="false" ht="15.75" hidden="false" customHeight="true" outlineLevel="0" collapsed="false">
      <c r="A405" s="19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customFormat="false" ht="15.75" hidden="false" customHeight="true" outlineLevel="0" collapsed="false">
      <c r="A406" s="19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customFormat="false" ht="15.75" hidden="false" customHeight="true" outlineLevel="0" collapsed="false">
      <c r="A407" s="19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customFormat="false" ht="15.75" hidden="false" customHeight="true" outlineLevel="0" collapsed="false">
      <c r="A408" s="19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customFormat="false" ht="15.75" hidden="false" customHeight="true" outlineLevel="0" collapsed="false">
      <c r="A409" s="19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customFormat="false" ht="15.75" hidden="false" customHeight="true" outlineLevel="0" collapsed="false">
      <c r="A410" s="19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customFormat="false" ht="15.75" hidden="false" customHeight="true" outlineLevel="0" collapsed="false">
      <c r="A411" s="19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customFormat="false" ht="15.75" hidden="false" customHeight="true" outlineLevel="0" collapsed="false">
      <c r="A412" s="19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customFormat="false" ht="15.75" hidden="false" customHeight="true" outlineLevel="0" collapsed="false">
      <c r="A413" s="19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customFormat="false" ht="15.75" hidden="false" customHeight="true" outlineLevel="0" collapsed="false">
      <c r="A414" s="19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customFormat="false" ht="15.75" hidden="false" customHeight="true" outlineLevel="0" collapsed="false">
      <c r="A415" s="19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customFormat="false" ht="15.75" hidden="false" customHeight="true" outlineLevel="0" collapsed="false">
      <c r="A416" s="19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customFormat="false" ht="15.75" hidden="false" customHeight="true" outlineLevel="0" collapsed="false">
      <c r="A417" s="19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customFormat="false" ht="15.75" hidden="false" customHeight="true" outlineLevel="0" collapsed="false">
      <c r="A418" s="19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customFormat="false" ht="15.75" hidden="false" customHeight="true" outlineLevel="0" collapsed="false">
      <c r="A419" s="19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customFormat="false" ht="15.75" hidden="false" customHeight="true" outlineLevel="0" collapsed="false">
      <c r="A420" s="19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customFormat="false" ht="15.75" hidden="false" customHeight="true" outlineLevel="0" collapsed="false">
      <c r="A421" s="19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customFormat="false" ht="15.75" hidden="false" customHeight="true" outlineLevel="0" collapsed="false">
      <c r="A422" s="19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customFormat="false" ht="15.75" hidden="false" customHeight="true" outlineLevel="0" collapsed="false">
      <c r="A423" s="19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customFormat="false" ht="15.75" hidden="false" customHeight="true" outlineLevel="0" collapsed="false">
      <c r="A424" s="19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customFormat="false" ht="15.75" hidden="false" customHeight="true" outlineLevel="0" collapsed="false">
      <c r="A425" s="19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customFormat="false" ht="15.75" hidden="false" customHeight="true" outlineLevel="0" collapsed="false">
      <c r="A426" s="19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customFormat="false" ht="15.75" hidden="false" customHeight="true" outlineLevel="0" collapsed="false">
      <c r="A427" s="19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customFormat="false" ht="15.75" hidden="false" customHeight="true" outlineLevel="0" collapsed="false">
      <c r="A428" s="19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customFormat="false" ht="15.75" hidden="false" customHeight="true" outlineLevel="0" collapsed="false">
      <c r="A429" s="19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customFormat="false" ht="15.75" hidden="false" customHeight="true" outlineLevel="0" collapsed="false">
      <c r="A430" s="19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customFormat="false" ht="15.75" hidden="false" customHeight="true" outlineLevel="0" collapsed="false">
      <c r="A431" s="19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customFormat="false" ht="15.75" hidden="false" customHeight="true" outlineLevel="0" collapsed="false">
      <c r="A432" s="19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customFormat="false" ht="15.75" hidden="false" customHeight="true" outlineLevel="0" collapsed="false">
      <c r="A433" s="19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customFormat="false" ht="15.75" hidden="false" customHeight="true" outlineLevel="0" collapsed="false">
      <c r="A434" s="19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customFormat="false" ht="15.75" hidden="false" customHeight="true" outlineLevel="0" collapsed="false">
      <c r="A435" s="19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customFormat="false" ht="15.75" hidden="false" customHeight="true" outlineLevel="0" collapsed="false">
      <c r="A436" s="19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customFormat="false" ht="15.75" hidden="false" customHeight="true" outlineLevel="0" collapsed="false">
      <c r="A437" s="19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customFormat="false" ht="15.75" hidden="false" customHeight="true" outlineLevel="0" collapsed="false">
      <c r="A438" s="19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customFormat="false" ht="15.75" hidden="false" customHeight="true" outlineLevel="0" collapsed="false">
      <c r="A439" s="19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customFormat="false" ht="15.75" hidden="false" customHeight="true" outlineLevel="0" collapsed="false">
      <c r="A440" s="19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customFormat="false" ht="15.75" hidden="false" customHeight="true" outlineLevel="0" collapsed="false">
      <c r="A441" s="19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customFormat="false" ht="15.75" hidden="false" customHeight="true" outlineLevel="0" collapsed="false">
      <c r="A442" s="19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customFormat="false" ht="15.75" hidden="false" customHeight="true" outlineLevel="0" collapsed="false">
      <c r="A443" s="19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customFormat="false" ht="15.75" hidden="false" customHeight="true" outlineLevel="0" collapsed="false">
      <c r="A444" s="19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customFormat="false" ht="15.75" hidden="false" customHeight="true" outlineLevel="0" collapsed="false">
      <c r="A445" s="19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customFormat="false" ht="15.75" hidden="false" customHeight="true" outlineLevel="0" collapsed="false">
      <c r="A446" s="19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customFormat="false" ht="15.75" hidden="false" customHeight="true" outlineLevel="0" collapsed="false">
      <c r="A447" s="19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customFormat="false" ht="15.75" hidden="false" customHeight="true" outlineLevel="0" collapsed="false">
      <c r="A448" s="19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customFormat="false" ht="15.75" hidden="false" customHeight="true" outlineLevel="0" collapsed="false">
      <c r="A449" s="19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customFormat="false" ht="15.75" hidden="false" customHeight="true" outlineLevel="0" collapsed="false">
      <c r="A450" s="19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customFormat="false" ht="15.75" hidden="false" customHeight="true" outlineLevel="0" collapsed="false">
      <c r="A451" s="19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customFormat="false" ht="15.75" hidden="false" customHeight="true" outlineLevel="0" collapsed="false">
      <c r="A452" s="19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customFormat="false" ht="15.75" hidden="false" customHeight="true" outlineLevel="0" collapsed="false">
      <c r="A453" s="19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customFormat="false" ht="15.75" hidden="false" customHeight="true" outlineLevel="0" collapsed="false">
      <c r="A454" s="19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customFormat="false" ht="15.75" hidden="false" customHeight="true" outlineLevel="0" collapsed="false">
      <c r="A455" s="19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customFormat="false" ht="15.75" hidden="false" customHeight="true" outlineLevel="0" collapsed="false">
      <c r="A456" s="19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customFormat="false" ht="15.75" hidden="false" customHeight="true" outlineLevel="0" collapsed="false">
      <c r="A457" s="19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customFormat="false" ht="15.75" hidden="false" customHeight="true" outlineLevel="0" collapsed="false">
      <c r="A458" s="19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customFormat="false" ht="15.75" hidden="false" customHeight="true" outlineLevel="0" collapsed="false">
      <c r="A459" s="19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customFormat="false" ht="15.75" hidden="false" customHeight="true" outlineLevel="0" collapsed="false">
      <c r="A460" s="19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customFormat="false" ht="15.75" hidden="false" customHeight="true" outlineLevel="0" collapsed="false">
      <c r="A461" s="19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customFormat="false" ht="15.75" hidden="false" customHeight="true" outlineLevel="0" collapsed="false">
      <c r="A462" s="19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customFormat="false" ht="15.75" hidden="false" customHeight="true" outlineLevel="0" collapsed="false">
      <c r="A463" s="19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customFormat="false" ht="15.75" hidden="false" customHeight="true" outlineLevel="0" collapsed="false">
      <c r="A464" s="19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customFormat="false" ht="15.75" hidden="false" customHeight="true" outlineLevel="0" collapsed="false">
      <c r="A465" s="19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customFormat="false" ht="15.75" hidden="false" customHeight="true" outlineLevel="0" collapsed="false">
      <c r="A466" s="19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customFormat="false" ht="15.75" hidden="false" customHeight="true" outlineLevel="0" collapsed="false">
      <c r="A467" s="19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customFormat="false" ht="15.75" hidden="false" customHeight="true" outlineLevel="0" collapsed="false">
      <c r="A468" s="19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customFormat="false" ht="15.75" hidden="false" customHeight="true" outlineLevel="0" collapsed="false">
      <c r="A469" s="19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customFormat="false" ht="15.75" hidden="false" customHeight="true" outlineLevel="0" collapsed="false">
      <c r="A470" s="19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customFormat="false" ht="15.75" hidden="false" customHeight="true" outlineLevel="0" collapsed="false">
      <c r="A471" s="19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customFormat="false" ht="15.75" hidden="false" customHeight="true" outlineLevel="0" collapsed="false">
      <c r="A472" s="19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customFormat="false" ht="15.75" hidden="false" customHeight="true" outlineLevel="0" collapsed="false">
      <c r="A473" s="19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customFormat="false" ht="15.75" hidden="false" customHeight="true" outlineLevel="0" collapsed="false">
      <c r="A474" s="19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customFormat="false" ht="15.75" hidden="false" customHeight="true" outlineLevel="0" collapsed="false">
      <c r="A475" s="19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customFormat="false" ht="15.75" hidden="false" customHeight="true" outlineLevel="0" collapsed="false">
      <c r="A476" s="19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customFormat="false" ht="15.75" hidden="false" customHeight="true" outlineLevel="0" collapsed="false">
      <c r="A477" s="19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customFormat="false" ht="15.75" hidden="false" customHeight="true" outlineLevel="0" collapsed="false">
      <c r="A478" s="19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customFormat="false" ht="15.75" hidden="false" customHeight="true" outlineLevel="0" collapsed="false">
      <c r="A479" s="19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customFormat="false" ht="15.75" hidden="false" customHeight="true" outlineLevel="0" collapsed="false">
      <c r="A480" s="19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customFormat="false" ht="15.75" hidden="false" customHeight="true" outlineLevel="0" collapsed="false">
      <c r="A481" s="19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customFormat="false" ht="15.75" hidden="false" customHeight="true" outlineLevel="0" collapsed="false">
      <c r="A482" s="19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customFormat="false" ht="15.75" hidden="false" customHeight="true" outlineLevel="0" collapsed="false">
      <c r="A483" s="19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customFormat="false" ht="15.75" hidden="false" customHeight="true" outlineLevel="0" collapsed="false">
      <c r="A484" s="19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customFormat="false" ht="15.75" hidden="false" customHeight="true" outlineLevel="0" collapsed="false">
      <c r="A485" s="19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customFormat="false" ht="15.75" hidden="false" customHeight="true" outlineLevel="0" collapsed="false">
      <c r="A486" s="19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customFormat="false" ht="15.75" hidden="false" customHeight="true" outlineLevel="0" collapsed="false">
      <c r="A487" s="19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customFormat="false" ht="15.75" hidden="false" customHeight="true" outlineLevel="0" collapsed="false">
      <c r="A488" s="19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customFormat="false" ht="15.75" hidden="false" customHeight="true" outlineLevel="0" collapsed="false">
      <c r="A489" s="19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customFormat="false" ht="15.75" hidden="false" customHeight="true" outlineLevel="0" collapsed="false">
      <c r="A490" s="19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customFormat="false" ht="15.75" hidden="false" customHeight="true" outlineLevel="0" collapsed="false">
      <c r="A491" s="19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customFormat="false" ht="15.75" hidden="false" customHeight="true" outlineLevel="0" collapsed="false">
      <c r="A492" s="19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customFormat="false" ht="15.75" hidden="false" customHeight="true" outlineLevel="0" collapsed="false">
      <c r="A493" s="19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customFormat="false" ht="15.75" hidden="false" customHeight="true" outlineLevel="0" collapsed="false">
      <c r="A494" s="19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customFormat="false" ht="15.75" hidden="false" customHeight="true" outlineLevel="0" collapsed="false">
      <c r="A495" s="19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customFormat="false" ht="15.75" hidden="false" customHeight="true" outlineLevel="0" collapsed="false">
      <c r="A496" s="19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customFormat="false" ht="15.75" hidden="false" customHeight="true" outlineLevel="0" collapsed="false">
      <c r="A497" s="19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customFormat="false" ht="15.75" hidden="false" customHeight="true" outlineLevel="0" collapsed="false">
      <c r="A498" s="19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customFormat="false" ht="15.75" hidden="false" customHeight="true" outlineLevel="0" collapsed="false">
      <c r="A499" s="19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customFormat="false" ht="15.75" hidden="false" customHeight="true" outlineLevel="0" collapsed="false">
      <c r="A500" s="19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customFormat="false" ht="15.75" hidden="false" customHeight="true" outlineLevel="0" collapsed="false">
      <c r="A501" s="19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customFormat="false" ht="15.75" hidden="false" customHeight="true" outlineLevel="0" collapsed="false">
      <c r="A502" s="19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customFormat="false" ht="15.75" hidden="false" customHeight="true" outlineLevel="0" collapsed="false">
      <c r="A503" s="19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customFormat="false" ht="15.75" hidden="false" customHeight="true" outlineLevel="0" collapsed="false">
      <c r="A504" s="19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customFormat="false" ht="15.75" hidden="false" customHeight="true" outlineLevel="0" collapsed="false">
      <c r="A505" s="19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customFormat="false" ht="15.75" hidden="false" customHeight="true" outlineLevel="0" collapsed="false">
      <c r="A506" s="19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customFormat="false" ht="15.75" hidden="false" customHeight="true" outlineLevel="0" collapsed="false">
      <c r="A507" s="19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customFormat="false" ht="15.75" hidden="false" customHeight="true" outlineLevel="0" collapsed="false">
      <c r="A508" s="19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customFormat="false" ht="15.75" hidden="false" customHeight="true" outlineLevel="0" collapsed="false">
      <c r="A509" s="19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customFormat="false" ht="15.75" hidden="false" customHeight="true" outlineLevel="0" collapsed="false">
      <c r="A510" s="19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customFormat="false" ht="15.75" hidden="false" customHeight="true" outlineLevel="0" collapsed="false">
      <c r="A511" s="19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customFormat="false" ht="15.75" hidden="false" customHeight="true" outlineLevel="0" collapsed="false">
      <c r="A512" s="19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customFormat="false" ht="15.75" hidden="false" customHeight="true" outlineLevel="0" collapsed="false">
      <c r="A513" s="19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customFormat="false" ht="15.75" hidden="false" customHeight="true" outlineLevel="0" collapsed="false">
      <c r="A514" s="19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customFormat="false" ht="15.75" hidden="false" customHeight="true" outlineLevel="0" collapsed="false">
      <c r="A515" s="19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customFormat="false" ht="15.75" hidden="false" customHeight="true" outlineLevel="0" collapsed="false">
      <c r="A516" s="19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customFormat="false" ht="15.75" hidden="false" customHeight="true" outlineLevel="0" collapsed="false">
      <c r="A517" s="19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customFormat="false" ht="15.75" hidden="false" customHeight="true" outlineLevel="0" collapsed="false">
      <c r="A518" s="19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customFormat="false" ht="15.75" hidden="false" customHeight="true" outlineLevel="0" collapsed="false">
      <c r="A519" s="19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customFormat="false" ht="15.75" hidden="false" customHeight="true" outlineLevel="0" collapsed="false">
      <c r="A520" s="19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customFormat="false" ht="15.75" hidden="false" customHeight="true" outlineLevel="0" collapsed="false">
      <c r="A521" s="19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customFormat="false" ht="15.75" hidden="false" customHeight="true" outlineLevel="0" collapsed="false">
      <c r="A522" s="19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customFormat="false" ht="15.75" hidden="false" customHeight="true" outlineLevel="0" collapsed="false">
      <c r="A523" s="19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customFormat="false" ht="15.75" hidden="false" customHeight="true" outlineLevel="0" collapsed="false">
      <c r="A524" s="19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customFormat="false" ht="15.75" hidden="false" customHeight="true" outlineLevel="0" collapsed="false">
      <c r="A525" s="19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customFormat="false" ht="15.75" hidden="false" customHeight="true" outlineLevel="0" collapsed="false">
      <c r="A526" s="19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customFormat="false" ht="15.75" hidden="false" customHeight="true" outlineLevel="0" collapsed="false">
      <c r="A527" s="19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customFormat="false" ht="15.75" hidden="false" customHeight="true" outlineLevel="0" collapsed="false">
      <c r="A528" s="19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customFormat="false" ht="15.75" hidden="false" customHeight="true" outlineLevel="0" collapsed="false">
      <c r="A529" s="19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customFormat="false" ht="15.75" hidden="false" customHeight="true" outlineLevel="0" collapsed="false">
      <c r="A530" s="19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customFormat="false" ht="15.75" hidden="false" customHeight="true" outlineLevel="0" collapsed="false">
      <c r="A531" s="19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customFormat="false" ht="15.75" hidden="false" customHeight="true" outlineLevel="0" collapsed="false">
      <c r="A532" s="19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customFormat="false" ht="15.75" hidden="false" customHeight="true" outlineLevel="0" collapsed="false">
      <c r="A533" s="19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customFormat="false" ht="15.75" hidden="false" customHeight="true" outlineLevel="0" collapsed="false">
      <c r="A534" s="19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customFormat="false" ht="15.75" hidden="false" customHeight="true" outlineLevel="0" collapsed="false">
      <c r="A535" s="19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customFormat="false" ht="15.75" hidden="false" customHeight="true" outlineLevel="0" collapsed="false">
      <c r="A536" s="19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customFormat="false" ht="15.75" hidden="false" customHeight="true" outlineLevel="0" collapsed="false">
      <c r="A537" s="19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customFormat="false" ht="15.75" hidden="false" customHeight="true" outlineLevel="0" collapsed="false">
      <c r="A538" s="19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customFormat="false" ht="15.75" hidden="false" customHeight="true" outlineLevel="0" collapsed="false">
      <c r="A539" s="19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customFormat="false" ht="15.75" hidden="false" customHeight="true" outlineLevel="0" collapsed="false">
      <c r="A540" s="19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customFormat="false" ht="15.75" hidden="false" customHeight="true" outlineLevel="0" collapsed="false">
      <c r="A541" s="19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customFormat="false" ht="15.75" hidden="false" customHeight="true" outlineLevel="0" collapsed="false">
      <c r="A542" s="19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customFormat="false" ht="15.75" hidden="false" customHeight="true" outlineLevel="0" collapsed="false">
      <c r="A543" s="19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customFormat="false" ht="15.75" hidden="false" customHeight="true" outlineLevel="0" collapsed="false">
      <c r="A544" s="19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customFormat="false" ht="15.75" hidden="false" customHeight="true" outlineLevel="0" collapsed="false">
      <c r="A545" s="19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customFormat="false" ht="15.75" hidden="false" customHeight="true" outlineLevel="0" collapsed="false">
      <c r="A546" s="19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customFormat="false" ht="15.75" hidden="false" customHeight="true" outlineLevel="0" collapsed="false">
      <c r="A547" s="19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customFormat="false" ht="15.75" hidden="false" customHeight="true" outlineLevel="0" collapsed="false">
      <c r="A548" s="19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customFormat="false" ht="15.75" hidden="false" customHeight="true" outlineLevel="0" collapsed="false">
      <c r="A549" s="19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customFormat="false" ht="15.75" hidden="false" customHeight="true" outlineLevel="0" collapsed="false">
      <c r="A550" s="19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customFormat="false" ht="15.75" hidden="false" customHeight="true" outlineLevel="0" collapsed="false">
      <c r="A551" s="19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customFormat="false" ht="15.75" hidden="false" customHeight="true" outlineLevel="0" collapsed="false">
      <c r="A552" s="19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customFormat="false" ht="15.75" hidden="false" customHeight="true" outlineLevel="0" collapsed="false">
      <c r="A553" s="19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customFormat="false" ht="15.75" hidden="false" customHeight="true" outlineLevel="0" collapsed="false">
      <c r="A554" s="19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customFormat="false" ht="15.75" hidden="false" customHeight="true" outlineLevel="0" collapsed="false">
      <c r="A555" s="19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customFormat="false" ht="15.75" hidden="false" customHeight="true" outlineLevel="0" collapsed="false">
      <c r="A556" s="19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customFormat="false" ht="15.75" hidden="false" customHeight="true" outlineLevel="0" collapsed="false">
      <c r="A557" s="19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customFormat="false" ht="15.75" hidden="false" customHeight="true" outlineLevel="0" collapsed="false">
      <c r="A558" s="19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customFormat="false" ht="15.75" hidden="false" customHeight="true" outlineLevel="0" collapsed="false">
      <c r="A559" s="19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customFormat="false" ht="15.75" hidden="false" customHeight="true" outlineLevel="0" collapsed="false">
      <c r="A560" s="19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customFormat="false" ht="15.75" hidden="false" customHeight="true" outlineLevel="0" collapsed="false">
      <c r="A561" s="19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customFormat="false" ht="15.75" hidden="false" customHeight="true" outlineLevel="0" collapsed="false">
      <c r="A562" s="19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customFormat="false" ht="15.75" hidden="false" customHeight="true" outlineLevel="0" collapsed="false">
      <c r="A563" s="19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customFormat="false" ht="15.75" hidden="false" customHeight="true" outlineLevel="0" collapsed="false">
      <c r="A564" s="19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customFormat="false" ht="15.75" hidden="false" customHeight="true" outlineLevel="0" collapsed="false">
      <c r="A565" s="19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customFormat="false" ht="15.75" hidden="false" customHeight="true" outlineLevel="0" collapsed="false">
      <c r="A566" s="19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customFormat="false" ht="15.75" hidden="false" customHeight="true" outlineLevel="0" collapsed="false">
      <c r="A567" s="19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customFormat="false" ht="15.75" hidden="false" customHeight="true" outlineLevel="0" collapsed="false">
      <c r="A568" s="19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customFormat="false" ht="15.75" hidden="false" customHeight="true" outlineLevel="0" collapsed="false">
      <c r="A569" s="19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customFormat="false" ht="15.75" hidden="false" customHeight="true" outlineLevel="0" collapsed="false">
      <c r="A570" s="19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customFormat="false" ht="15.75" hidden="false" customHeight="true" outlineLevel="0" collapsed="false">
      <c r="A571" s="19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customFormat="false" ht="15.75" hidden="false" customHeight="true" outlineLevel="0" collapsed="false">
      <c r="A572" s="19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customFormat="false" ht="15.75" hidden="false" customHeight="true" outlineLevel="0" collapsed="false">
      <c r="A573" s="19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customFormat="false" ht="15.75" hidden="false" customHeight="true" outlineLevel="0" collapsed="false">
      <c r="A574" s="19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customFormat="false" ht="15.75" hidden="false" customHeight="true" outlineLevel="0" collapsed="false">
      <c r="A575" s="19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customFormat="false" ht="15.75" hidden="false" customHeight="true" outlineLevel="0" collapsed="false">
      <c r="A576" s="19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customFormat="false" ht="15.75" hidden="false" customHeight="true" outlineLevel="0" collapsed="false">
      <c r="A577" s="19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customFormat="false" ht="15.75" hidden="false" customHeight="true" outlineLevel="0" collapsed="false">
      <c r="A578" s="19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customFormat="false" ht="15.75" hidden="false" customHeight="true" outlineLevel="0" collapsed="false">
      <c r="A579" s="19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customFormat="false" ht="15.75" hidden="false" customHeight="true" outlineLevel="0" collapsed="false">
      <c r="A580" s="19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customFormat="false" ht="15.75" hidden="false" customHeight="true" outlineLevel="0" collapsed="false">
      <c r="A581" s="19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customFormat="false" ht="15.75" hidden="false" customHeight="true" outlineLevel="0" collapsed="false">
      <c r="A582" s="19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customFormat="false" ht="15.75" hidden="false" customHeight="true" outlineLevel="0" collapsed="false">
      <c r="A583" s="19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customFormat="false" ht="15.75" hidden="false" customHeight="true" outlineLevel="0" collapsed="false">
      <c r="A584" s="19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customFormat="false" ht="15.75" hidden="false" customHeight="true" outlineLevel="0" collapsed="false">
      <c r="A585" s="19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customFormat="false" ht="15.75" hidden="false" customHeight="true" outlineLevel="0" collapsed="false">
      <c r="A586" s="19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customFormat="false" ht="15.75" hidden="false" customHeight="true" outlineLevel="0" collapsed="false">
      <c r="A587" s="19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customFormat="false" ht="15.75" hidden="false" customHeight="true" outlineLevel="0" collapsed="false">
      <c r="A588" s="19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customFormat="false" ht="15.75" hidden="false" customHeight="true" outlineLevel="0" collapsed="false">
      <c r="A589" s="19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customFormat="false" ht="15.75" hidden="false" customHeight="true" outlineLevel="0" collapsed="false">
      <c r="A590" s="19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customFormat="false" ht="15.75" hidden="false" customHeight="true" outlineLevel="0" collapsed="false">
      <c r="A591" s="19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customFormat="false" ht="15.75" hidden="false" customHeight="true" outlineLevel="0" collapsed="false">
      <c r="A592" s="19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customFormat="false" ht="15.75" hidden="false" customHeight="true" outlineLevel="0" collapsed="false">
      <c r="A593" s="19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customFormat="false" ht="15.75" hidden="false" customHeight="true" outlineLevel="0" collapsed="false">
      <c r="A594" s="19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customFormat="false" ht="15.75" hidden="false" customHeight="true" outlineLevel="0" collapsed="false">
      <c r="A595" s="19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customFormat="false" ht="15.75" hidden="false" customHeight="true" outlineLevel="0" collapsed="false">
      <c r="A596" s="19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customFormat="false" ht="15.75" hidden="false" customHeight="true" outlineLevel="0" collapsed="false">
      <c r="A597" s="19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customFormat="false" ht="15.75" hidden="false" customHeight="true" outlineLevel="0" collapsed="false">
      <c r="A598" s="19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customFormat="false" ht="15.75" hidden="false" customHeight="true" outlineLevel="0" collapsed="false">
      <c r="A599" s="19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customFormat="false" ht="15.75" hidden="false" customHeight="true" outlineLevel="0" collapsed="false">
      <c r="A600" s="19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customFormat="false" ht="15.75" hidden="false" customHeight="true" outlineLevel="0" collapsed="false">
      <c r="A601" s="19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customFormat="false" ht="15.75" hidden="false" customHeight="true" outlineLevel="0" collapsed="false">
      <c r="A602" s="19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customFormat="false" ht="15.75" hidden="false" customHeight="true" outlineLevel="0" collapsed="false">
      <c r="A603" s="19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customFormat="false" ht="15.75" hidden="false" customHeight="true" outlineLevel="0" collapsed="false">
      <c r="A604" s="19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customFormat="false" ht="15.75" hidden="false" customHeight="true" outlineLevel="0" collapsed="false">
      <c r="A605" s="19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customFormat="false" ht="15.75" hidden="false" customHeight="true" outlineLevel="0" collapsed="false">
      <c r="A606" s="19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customFormat="false" ht="15.75" hidden="false" customHeight="true" outlineLevel="0" collapsed="false">
      <c r="A607" s="19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customFormat="false" ht="15.75" hidden="false" customHeight="true" outlineLevel="0" collapsed="false">
      <c r="A608" s="19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customFormat="false" ht="15.75" hidden="false" customHeight="true" outlineLevel="0" collapsed="false">
      <c r="A609" s="19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customFormat="false" ht="15.75" hidden="false" customHeight="true" outlineLevel="0" collapsed="false">
      <c r="A610" s="19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customFormat="false" ht="15.75" hidden="false" customHeight="true" outlineLevel="0" collapsed="false">
      <c r="A611" s="19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customFormat="false" ht="15.75" hidden="false" customHeight="true" outlineLevel="0" collapsed="false">
      <c r="A612" s="19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customFormat="false" ht="15.75" hidden="false" customHeight="true" outlineLevel="0" collapsed="false">
      <c r="A613" s="19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customFormat="false" ht="15.75" hidden="false" customHeight="true" outlineLevel="0" collapsed="false">
      <c r="A614" s="19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customFormat="false" ht="15.75" hidden="false" customHeight="true" outlineLevel="0" collapsed="false">
      <c r="A615" s="19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customFormat="false" ht="15.75" hidden="false" customHeight="true" outlineLevel="0" collapsed="false">
      <c r="A616" s="19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customFormat="false" ht="15.75" hidden="false" customHeight="true" outlineLevel="0" collapsed="false">
      <c r="A617" s="19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customFormat="false" ht="15.75" hidden="false" customHeight="true" outlineLevel="0" collapsed="false">
      <c r="A618" s="19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customFormat="false" ht="15.75" hidden="false" customHeight="true" outlineLevel="0" collapsed="false">
      <c r="A619" s="19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customFormat="false" ht="15.75" hidden="false" customHeight="true" outlineLevel="0" collapsed="false">
      <c r="A620" s="19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customFormat="false" ht="15.75" hidden="false" customHeight="true" outlineLevel="0" collapsed="false">
      <c r="A621" s="19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customFormat="false" ht="15.75" hidden="false" customHeight="true" outlineLevel="0" collapsed="false">
      <c r="A622" s="19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customFormat="false" ht="15.75" hidden="false" customHeight="true" outlineLevel="0" collapsed="false">
      <c r="A623" s="19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customFormat="false" ht="15.75" hidden="false" customHeight="true" outlineLevel="0" collapsed="false">
      <c r="A624" s="19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customFormat="false" ht="15.75" hidden="false" customHeight="true" outlineLevel="0" collapsed="false">
      <c r="A625" s="19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customFormat="false" ht="15.75" hidden="false" customHeight="true" outlineLevel="0" collapsed="false">
      <c r="A626" s="19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customFormat="false" ht="15.75" hidden="false" customHeight="true" outlineLevel="0" collapsed="false">
      <c r="A627" s="19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customFormat="false" ht="15.75" hidden="false" customHeight="true" outlineLevel="0" collapsed="false">
      <c r="A628" s="19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customFormat="false" ht="15.75" hidden="false" customHeight="true" outlineLevel="0" collapsed="false">
      <c r="A629" s="19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customFormat="false" ht="15.75" hidden="false" customHeight="true" outlineLevel="0" collapsed="false">
      <c r="A630" s="19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customFormat="false" ht="15.75" hidden="false" customHeight="true" outlineLevel="0" collapsed="false">
      <c r="A631" s="19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customFormat="false" ht="15.75" hidden="false" customHeight="true" outlineLevel="0" collapsed="false">
      <c r="A632" s="19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customFormat="false" ht="15.75" hidden="false" customHeight="true" outlineLevel="0" collapsed="false">
      <c r="A633" s="19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customFormat="false" ht="15.75" hidden="false" customHeight="true" outlineLevel="0" collapsed="false">
      <c r="A634" s="19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customFormat="false" ht="15.75" hidden="false" customHeight="true" outlineLevel="0" collapsed="false">
      <c r="A635" s="19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customFormat="false" ht="15.75" hidden="false" customHeight="true" outlineLevel="0" collapsed="false">
      <c r="A636" s="19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customFormat="false" ht="15.75" hidden="false" customHeight="true" outlineLevel="0" collapsed="false">
      <c r="A637" s="19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customFormat="false" ht="15.75" hidden="false" customHeight="true" outlineLevel="0" collapsed="false">
      <c r="A638" s="19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customFormat="false" ht="15.75" hidden="false" customHeight="true" outlineLevel="0" collapsed="false">
      <c r="A639" s="19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customFormat="false" ht="15.75" hidden="false" customHeight="true" outlineLevel="0" collapsed="false">
      <c r="A640" s="19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customFormat="false" ht="15.75" hidden="false" customHeight="true" outlineLevel="0" collapsed="false">
      <c r="A641" s="19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customFormat="false" ht="15.75" hidden="false" customHeight="true" outlineLevel="0" collapsed="false">
      <c r="A642" s="19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customFormat="false" ht="15.75" hidden="false" customHeight="true" outlineLevel="0" collapsed="false">
      <c r="A643" s="19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customFormat="false" ht="15.75" hidden="false" customHeight="true" outlineLevel="0" collapsed="false">
      <c r="A644" s="19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customFormat="false" ht="15.75" hidden="false" customHeight="true" outlineLevel="0" collapsed="false">
      <c r="A645" s="19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customFormat="false" ht="15.75" hidden="false" customHeight="true" outlineLevel="0" collapsed="false">
      <c r="A646" s="19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customFormat="false" ht="15.75" hidden="false" customHeight="true" outlineLevel="0" collapsed="false">
      <c r="A647" s="19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customFormat="false" ht="15.75" hidden="false" customHeight="true" outlineLevel="0" collapsed="false">
      <c r="A648" s="19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customFormat="false" ht="15.75" hidden="false" customHeight="true" outlineLevel="0" collapsed="false">
      <c r="A649" s="19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customFormat="false" ht="15.75" hidden="false" customHeight="true" outlineLevel="0" collapsed="false">
      <c r="A650" s="19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customFormat="false" ht="15.75" hidden="false" customHeight="true" outlineLevel="0" collapsed="false">
      <c r="A651" s="19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customFormat="false" ht="15.75" hidden="false" customHeight="true" outlineLevel="0" collapsed="false">
      <c r="A652" s="19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customFormat="false" ht="15.75" hidden="false" customHeight="true" outlineLevel="0" collapsed="false">
      <c r="A653" s="19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customFormat="false" ht="15.75" hidden="false" customHeight="true" outlineLevel="0" collapsed="false">
      <c r="A654" s="19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customFormat="false" ht="15.75" hidden="false" customHeight="true" outlineLevel="0" collapsed="false">
      <c r="A655" s="19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customFormat="false" ht="15.75" hidden="false" customHeight="true" outlineLevel="0" collapsed="false">
      <c r="A656" s="19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customFormat="false" ht="15.75" hidden="false" customHeight="true" outlineLevel="0" collapsed="false">
      <c r="A657" s="19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customFormat="false" ht="15.75" hidden="false" customHeight="true" outlineLevel="0" collapsed="false">
      <c r="A658" s="19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customFormat="false" ht="15.75" hidden="false" customHeight="true" outlineLevel="0" collapsed="false">
      <c r="A659" s="19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customFormat="false" ht="15.75" hidden="false" customHeight="true" outlineLevel="0" collapsed="false">
      <c r="A660" s="19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customFormat="false" ht="15.75" hidden="false" customHeight="true" outlineLevel="0" collapsed="false">
      <c r="A661" s="19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customFormat="false" ht="15.75" hidden="false" customHeight="true" outlineLevel="0" collapsed="false">
      <c r="A662" s="19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customFormat="false" ht="15.75" hidden="false" customHeight="true" outlineLevel="0" collapsed="false">
      <c r="A663" s="19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customFormat="false" ht="15.75" hidden="false" customHeight="true" outlineLevel="0" collapsed="false">
      <c r="A664" s="19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customFormat="false" ht="15.75" hidden="false" customHeight="true" outlineLevel="0" collapsed="false">
      <c r="A665" s="19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customFormat="false" ht="15.75" hidden="false" customHeight="true" outlineLevel="0" collapsed="false">
      <c r="A666" s="19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customFormat="false" ht="15.75" hidden="false" customHeight="true" outlineLevel="0" collapsed="false">
      <c r="A667" s="19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customFormat="false" ht="15.75" hidden="false" customHeight="true" outlineLevel="0" collapsed="false">
      <c r="A668" s="19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customFormat="false" ht="15.75" hidden="false" customHeight="true" outlineLevel="0" collapsed="false">
      <c r="A669" s="19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customFormat="false" ht="15.75" hidden="false" customHeight="true" outlineLevel="0" collapsed="false">
      <c r="A670" s="19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customFormat="false" ht="15.75" hidden="false" customHeight="true" outlineLevel="0" collapsed="false">
      <c r="A671" s="19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customFormat="false" ht="15.75" hidden="false" customHeight="true" outlineLevel="0" collapsed="false">
      <c r="A672" s="19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customFormat="false" ht="15.75" hidden="false" customHeight="true" outlineLevel="0" collapsed="false">
      <c r="A673" s="19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customFormat="false" ht="15.75" hidden="false" customHeight="true" outlineLevel="0" collapsed="false">
      <c r="A674" s="19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customFormat="false" ht="15.75" hidden="false" customHeight="true" outlineLevel="0" collapsed="false">
      <c r="A675" s="19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customFormat="false" ht="15.75" hidden="false" customHeight="true" outlineLevel="0" collapsed="false">
      <c r="A676" s="19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customFormat="false" ht="15.75" hidden="false" customHeight="true" outlineLevel="0" collapsed="false">
      <c r="A677" s="19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customFormat="false" ht="15.75" hidden="false" customHeight="true" outlineLevel="0" collapsed="false">
      <c r="A678" s="19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customFormat="false" ht="15.75" hidden="false" customHeight="true" outlineLevel="0" collapsed="false">
      <c r="A679" s="19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customFormat="false" ht="15.75" hidden="false" customHeight="true" outlineLevel="0" collapsed="false">
      <c r="A680" s="19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customFormat="false" ht="15.75" hidden="false" customHeight="true" outlineLevel="0" collapsed="false">
      <c r="A681" s="19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customFormat="false" ht="15.75" hidden="false" customHeight="true" outlineLevel="0" collapsed="false">
      <c r="A682" s="19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customFormat="false" ht="15.75" hidden="false" customHeight="true" outlineLevel="0" collapsed="false">
      <c r="A683" s="19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customFormat="false" ht="15.75" hidden="false" customHeight="true" outlineLevel="0" collapsed="false">
      <c r="A684" s="19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customFormat="false" ht="15.75" hidden="false" customHeight="true" outlineLevel="0" collapsed="false">
      <c r="A685" s="19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customFormat="false" ht="15.75" hidden="false" customHeight="true" outlineLevel="0" collapsed="false">
      <c r="A686" s="19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customFormat="false" ht="15.75" hidden="false" customHeight="true" outlineLevel="0" collapsed="false">
      <c r="A687" s="19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customFormat="false" ht="15.75" hidden="false" customHeight="true" outlineLevel="0" collapsed="false">
      <c r="A688" s="19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customFormat="false" ht="15.75" hidden="false" customHeight="true" outlineLevel="0" collapsed="false">
      <c r="A689" s="19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customFormat="false" ht="15.75" hidden="false" customHeight="true" outlineLevel="0" collapsed="false">
      <c r="A690" s="19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customFormat="false" ht="15.75" hidden="false" customHeight="true" outlineLevel="0" collapsed="false">
      <c r="A691" s="19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customFormat="false" ht="15.75" hidden="false" customHeight="true" outlineLevel="0" collapsed="false">
      <c r="A692" s="19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customFormat="false" ht="15.75" hidden="false" customHeight="true" outlineLevel="0" collapsed="false">
      <c r="A693" s="19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customFormat="false" ht="15.75" hidden="false" customHeight="true" outlineLevel="0" collapsed="false">
      <c r="A694" s="19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customFormat="false" ht="15.75" hidden="false" customHeight="true" outlineLevel="0" collapsed="false">
      <c r="A695" s="19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customFormat="false" ht="15.75" hidden="false" customHeight="true" outlineLevel="0" collapsed="false">
      <c r="A696" s="19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customFormat="false" ht="15.75" hidden="false" customHeight="true" outlineLevel="0" collapsed="false">
      <c r="A697" s="19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customFormat="false" ht="15.75" hidden="false" customHeight="true" outlineLevel="0" collapsed="false">
      <c r="A698" s="19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customFormat="false" ht="15.75" hidden="false" customHeight="true" outlineLevel="0" collapsed="false">
      <c r="A699" s="19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customFormat="false" ht="15.75" hidden="false" customHeight="true" outlineLevel="0" collapsed="false">
      <c r="A700" s="19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customFormat="false" ht="15.75" hidden="false" customHeight="true" outlineLevel="0" collapsed="false">
      <c r="A701" s="19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customFormat="false" ht="15.75" hidden="false" customHeight="true" outlineLevel="0" collapsed="false">
      <c r="A702" s="19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customFormat="false" ht="15.75" hidden="false" customHeight="true" outlineLevel="0" collapsed="false">
      <c r="A703" s="19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customFormat="false" ht="15.75" hidden="false" customHeight="true" outlineLevel="0" collapsed="false">
      <c r="A704" s="19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customFormat="false" ht="15.75" hidden="false" customHeight="true" outlineLevel="0" collapsed="false">
      <c r="A705" s="19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customFormat="false" ht="15.75" hidden="false" customHeight="true" outlineLevel="0" collapsed="false">
      <c r="A706" s="19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customFormat="false" ht="15.75" hidden="false" customHeight="true" outlineLevel="0" collapsed="false">
      <c r="A707" s="19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customFormat="false" ht="15.75" hidden="false" customHeight="true" outlineLevel="0" collapsed="false">
      <c r="A708" s="19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customFormat="false" ht="15.75" hidden="false" customHeight="true" outlineLevel="0" collapsed="false">
      <c r="A709" s="19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customFormat="false" ht="15.75" hidden="false" customHeight="true" outlineLevel="0" collapsed="false">
      <c r="A710" s="19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customFormat="false" ht="15.75" hidden="false" customHeight="true" outlineLevel="0" collapsed="false">
      <c r="A711" s="19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customFormat="false" ht="15.75" hidden="false" customHeight="true" outlineLevel="0" collapsed="false">
      <c r="A712" s="19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customFormat="false" ht="15.75" hidden="false" customHeight="true" outlineLevel="0" collapsed="false">
      <c r="A713" s="19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customFormat="false" ht="15.75" hidden="false" customHeight="true" outlineLevel="0" collapsed="false">
      <c r="A714" s="19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customFormat="false" ht="15.75" hidden="false" customHeight="true" outlineLevel="0" collapsed="false">
      <c r="A715" s="19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customFormat="false" ht="15.75" hidden="false" customHeight="true" outlineLevel="0" collapsed="false">
      <c r="A716" s="19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customFormat="false" ht="15.75" hidden="false" customHeight="true" outlineLevel="0" collapsed="false">
      <c r="A717" s="19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customFormat="false" ht="15.75" hidden="false" customHeight="true" outlineLevel="0" collapsed="false">
      <c r="A718" s="19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customFormat="false" ht="15.75" hidden="false" customHeight="true" outlineLevel="0" collapsed="false">
      <c r="A719" s="19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customFormat="false" ht="15.75" hidden="false" customHeight="true" outlineLevel="0" collapsed="false">
      <c r="A720" s="19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customFormat="false" ht="15.75" hidden="false" customHeight="true" outlineLevel="0" collapsed="false">
      <c r="A721" s="19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customFormat="false" ht="15.75" hidden="false" customHeight="true" outlineLevel="0" collapsed="false">
      <c r="A722" s="19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customFormat="false" ht="15.75" hidden="false" customHeight="true" outlineLevel="0" collapsed="false">
      <c r="A723" s="19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customFormat="false" ht="15.75" hidden="false" customHeight="true" outlineLevel="0" collapsed="false">
      <c r="A724" s="19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customFormat="false" ht="15.75" hidden="false" customHeight="true" outlineLevel="0" collapsed="false">
      <c r="A725" s="19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customFormat="false" ht="15.75" hidden="false" customHeight="true" outlineLevel="0" collapsed="false">
      <c r="A726" s="19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customFormat="false" ht="15.75" hidden="false" customHeight="true" outlineLevel="0" collapsed="false">
      <c r="A727" s="19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customFormat="false" ht="15.75" hidden="false" customHeight="true" outlineLevel="0" collapsed="false">
      <c r="A728" s="19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customFormat="false" ht="15.75" hidden="false" customHeight="true" outlineLevel="0" collapsed="false">
      <c r="A729" s="19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customFormat="false" ht="15.75" hidden="false" customHeight="true" outlineLevel="0" collapsed="false">
      <c r="A730" s="19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customFormat="false" ht="15.75" hidden="false" customHeight="true" outlineLevel="0" collapsed="false">
      <c r="A731" s="19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customFormat="false" ht="15.75" hidden="false" customHeight="true" outlineLevel="0" collapsed="false">
      <c r="A732" s="19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customFormat="false" ht="15.75" hidden="false" customHeight="true" outlineLevel="0" collapsed="false">
      <c r="A733" s="19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customFormat="false" ht="15.75" hidden="false" customHeight="true" outlineLevel="0" collapsed="false">
      <c r="A734" s="19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customFormat="false" ht="15.75" hidden="false" customHeight="true" outlineLevel="0" collapsed="false">
      <c r="A735" s="19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customFormat="false" ht="15.75" hidden="false" customHeight="true" outlineLevel="0" collapsed="false">
      <c r="A736" s="19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customFormat="false" ht="15.75" hidden="false" customHeight="true" outlineLevel="0" collapsed="false">
      <c r="A737" s="19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customFormat="false" ht="15.75" hidden="false" customHeight="true" outlineLevel="0" collapsed="false">
      <c r="A738" s="19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customFormat="false" ht="15.75" hidden="false" customHeight="true" outlineLevel="0" collapsed="false">
      <c r="A739" s="19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customFormat="false" ht="15.75" hidden="false" customHeight="true" outlineLevel="0" collapsed="false">
      <c r="A740" s="19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customFormat="false" ht="15.75" hidden="false" customHeight="true" outlineLevel="0" collapsed="false">
      <c r="A741" s="19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customFormat="false" ht="15.75" hidden="false" customHeight="true" outlineLevel="0" collapsed="false">
      <c r="A742" s="19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customFormat="false" ht="15.75" hidden="false" customHeight="true" outlineLevel="0" collapsed="false">
      <c r="A743" s="19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customFormat="false" ht="15.75" hidden="false" customHeight="true" outlineLevel="0" collapsed="false">
      <c r="A744" s="19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customFormat="false" ht="15.75" hidden="false" customHeight="true" outlineLevel="0" collapsed="false">
      <c r="A745" s="19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customFormat="false" ht="15.75" hidden="false" customHeight="true" outlineLevel="0" collapsed="false">
      <c r="A746" s="19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customFormat="false" ht="15.75" hidden="false" customHeight="true" outlineLevel="0" collapsed="false">
      <c r="A747" s="19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customFormat="false" ht="15.75" hidden="false" customHeight="true" outlineLevel="0" collapsed="false">
      <c r="A748" s="19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customFormat="false" ht="15.75" hidden="false" customHeight="true" outlineLevel="0" collapsed="false">
      <c r="A749" s="19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customFormat="false" ht="15.75" hidden="false" customHeight="true" outlineLevel="0" collapsed="false">
      <c r="A750" s="19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customFormat="false" ht="15.75" hidden="false" customHeight="true" outlineLevel="0" collapsed="false">
      <c r="A751" s="19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customFormat="false" ht="15.75" hidden="false" customHeight="true" outlineLevel="0" collapsed="false">
      <c r="A752" s="19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customFormat="false" ht="15.75" hidden="false" customHeight="true" outlineLevel="0" collapsed="false">
      <c r="A753" s="19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customFormat="false" ht="15.75" hidden="false" customHeight="true" outlineLevel="0" collapsed="false">
      <c r="A754" s="19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customFormat="false" ht="15.75" hidden="false" customHeight="true" outlineLevel="0" collapsed="false">
      <c r="A755" s="19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customFormat="false" ht="15.75" hidden="false" customHeight="true" outlineLevel="0" collapsed="false">
      <c r="A756" s="19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customFormat="false" ht="15.75" hidden="false" customHeight="true" outlineLevel="0" collapsed="false">
      <c r="A757" s="19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customFormat="false" ht="15.75" hidden="false" customHeight="true" outlineLevel="0" collapsed="false">
      <c r="A758" s="19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customFormat="false" ht="15.75" hidden="false" customHeight="true" outlineLevel="0" collapsed="false">
      <c r="A759" s="19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customFormat="false" ht="15.75" hidden="false" customHeight="true" outlineLevel="0" collapsed="false">
      <c r="A760" s="19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customFormat="false" ht="15.75" hidden="false" customHeight="true" outlineLevel="0" collapsed="false">
      <c r="A761" s="19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customFormat="false" ht="15.75" hidden="false" customHeight="true" outlineLevel="0" collapsed="false">
      <c r="A762" s="19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customFormat="false" ht="15.75" hidden="false" customHeight="true" outlineLevel="0" collapsed="false">
      <c r="A763" s="19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customFormat="false" ht="15.75" hidden="false" customHeight="true" outlineLevel="0" collapsed="false">
      <c r="A764" s="19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customFormat="false" ht="15.75" hidden="false" customHeight="true" outlineLevel="0" collapsed="false">
      <c r="A765" s="19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customFormat="false" ht="15.75" hidden="false" customHeight="true" outlineLevel="0" collapsed="false">
      <c r="A766" s="19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customFormat="false" ht="15.75" hidden="false" customHeight="true" outlineLevel="0" collapsed="false">
      <c r="A767" s="19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customFormat="false" ht="15.75" hidden="false" customHeight="true" outlineLevel="0" collapsed="false">
      <c r="A768" s="19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customFormat="false" ht="15.75" hidden="false" customHeight="true" outlineLevel="0" collapsed="false">
      <c r="A769" s="19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customFormat="false" ht="15.75" hidden="false" customHeight="true" outlineLevel="0" collapsed="false">
      <c r="A770" s="19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customFormat="false" ht="15.75" hidden="false" customHeight="true" outlineLevel="0" collapsed="false">
      <c r="A771" s="19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customFormat="false" ht="15.75" hidden="false" customHeight="true" outlineLevel="0" collapsed="false">
      <c r="A772" s="19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customFormat="false" ht="15.75" hidden="false" customHeight="true" outlineLevel="0" collapsed="false">
      <c r="A773" s="19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customFormat="false" ht="15.75" hidden="false" customHeight="true" outlineLevel="0" collapsed="false">
      <c r="A774" s="19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customFormat="false" ht="15.75" hidden="false" customHeight="true" outlineLevel="0" collapsed="false">
      <c r="A775" s="19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customFormat="false" ht="15.75" hidden="false" customHeight="true" outlineLevel="0" collapsed="false">
      <c r="A776" s="19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customFormat="false" ht="15.75" hidden="false" customHeight="true" outlineLevel="0" collapsed="false">
      <c r="A777" s="19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customFormat="false" ht="15.75" hidden="false" customHeight="true" outlineLevel="0" collapsed="false">
      <c r="A778" s="19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customFormat="false" ht="15.75" hidden="false" customHeight="true" outlineLevel="0" collapsed="false">
      <c r="A779" s="19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customFormat="false" ht="15.75" hidden="false" customHeight="true" outlineLevel="0" collapsed="false">
      <c r="A780" s="19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customFormat="false" ht="15.75" hidden="false" customHeight="true" outlineLevel="0" collapsed="false">
      <c r="A781" s="19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customFormat="false" ht="15.75" hidden="false" customHeight="true" outlineLevel="0" collapsed="false">
      <c r="A782" s="19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customFormat="false" ht="15.75" hidden="false" customHeight="true" outlineLevel="0" collapsed="false">
      <c r="A783" s="19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customFormat="false" ht="15.75" hidden="false" customHeight="true" outlineLevel="0" collapsed="false">
      <c r="A784" s="19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customFormat="false" ht="15.75" hidden="false" customHeight="true" outlineLevel="0" collapsed="false">
      <c r="A785" s="19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customFormat="false" ht="15.75" hidden="false" customHeight="true" outlineLevel="0" collapsed="false">
      <c r="A786" s="19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customFormat="false" ht="15.75" hidden="false" customHeight="true" outlineLevel="0" collapsed="false">
      <c r="A787" s="19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customFormat="false" ht="15.75" hidden="false" customHeight="true" outlineLevel="0" collapsed="false">
      <c r="A788" s="19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customFormat="false" ht="15.75" hidden="false" customHeight="true" outlineLevel="0" collapsed="false">
      <c r="A789" s="19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customFormat="false" ht="15.75" hidden="false" customHeight="true" outlineLevel="0" collapsed="false">
      <c r="A790" s="19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customFormat="false" ht="15.75" hidden="false" customHeight="true" outlineLevel="0" collapsed="false">
      <c r="A791" s="19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customFormat="false" ht="15.75" hidden="false" customHeight="true" outlineLevel="0" collapsed="false">
      <c r="A792" s="19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customFormat="false" ht="15.75" hidden="false" customHeight="true" outlineLevel="0" collapsed="false">
      <c r="A793" s="19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customFormat="false" ht="15.75" hidden="false" customHeight="true" outlineLevel="0" collapsed="false">
      <c r="A794" s="19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customFormat="false" ht="15.75" hidden="false" customHeight="true" outlineLevel="0" collapsed="false">
      <c r="A795" s="19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customFormat="false" ht="15.75" hidden="false" customHeight="true" outlineLevel="0" collapsed="false">
      <c r="A796" s="19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customFormat="false" ht="15.75" hidden="false" customHeight="true" outlineLevel="0" collapsed="false">
      <c r="A797" s="19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customFormat="false" ht="15.75" hidden="false" customHeight="true" outlineLevel="0" collapsed="false">
      <c r="A798" s="19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customFormat="false" ht="15.75" hidden="false" customHeight="true" outlineLevel="0" collapsed="false">
      <c r="A799" s="19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customFormat="false" ht="15.75" hidden="false" customHeight="true" outlineLevel="0" collapsed="false">
      <c r="A800" s="19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customFormat="false" ht="15.75" hidden="false" customHeight="true" outlineLevel="0" collapsed="false">
      <c r="A801" s="19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customFormat="false" ht="15.75" hidden="false" customHeight="true" outlineLevel="0" collapsed="false">
      <c r="A802" s="19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customFormat="false" ht="15.75" hidden="false" customHeight="true" outlineLevel="0" collapsed="false">
      <c r="A803" s="19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customFormat="false" ht="15.75" hidden="false" customHeight="true" outlineLevel="0" collapsed="false">
      <c r="A804" s="19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customFormat="false" ht="15.75" hidden="false" customHeight="true" outlineLevel="0" collapsed="false">
      <c r="A805" s="19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customFormat="false" ht="15.75" hidden="false" customHeight="true" outlineLevel="0" collapsed="false">
      <c r="A806" s="19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customFormat="false" ht="15.75" hidden="false" customHeight="true" outlineLevel="0" collapsed="false">
      <c r="A807" s="19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customFormat="false" ht="15.75" hidden="false" customHeight="true" outlineLevel="0" collapsed="false">
      <c r="A808" s="19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customFormat="false" ht="15.75" hidden="false" customHeight="true" outlineLevel="0" collapsed="false">
      <c r="A809" s="19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customFormat="false" ht="15.75" hidden="false" customHeight="true" outlineLevel="0" collapsed="false">
      <c r="A810" s="19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customFormat="false" ht="15.75" hidden="false" customHeight="true" outlineLevel="0" collapsed="false">
      <c r="A811" s="19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customFormat="false" ht="15.75" hidden="false" customHeight="true" outlineLevel="0" collapsed="false">
      <c r="A812" s="19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customFormat="false" ht="15.75" hidden="false" customHeight="true" outlineLevel="0" collapsed="false">
      <c r="A813" s="19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customFormat="false" ht="15.75" hidden="false" customHeight="true" outlineLevel="0" collapsed="false">
      <c r="A814" s="19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customFormat="false" ht="15.75" hidden="false" customHeight="true" outlineLevel="0" collapsed="false">
      <c r="A815" s="19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customFormat="false" ht="15.75" hidden="false" customHeight="true" outlineLevel="0" collapsed="false">
      <c r="A816" s="19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customFormat="false" ht="15.75" hidden="false" customHeight="true" outlineLevel="0" collapsed="false">
      <c r="A817" s="19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customFormat="false" ht="15.75" hidden="false" customHeight="true" outlineLevel="0" collapsed="false">
      <c r="A818" s="19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customFormat="false" ht="15.75" hidden="false" customHeight="true" outlineLevel="0" collapsed="false">
      <c r="A819" s="19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customFormat="false" ht="15.75" hidden="false" customHeight="true" outlineLevel="0" collapsed="false">
      <c r="A820" s="19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customFormat="false" ht="15.75" hidden="false" customHeight="true" outlineLevel="0" collapsed="false">
      <c r="A821" s="19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customFormat="false" ht="15.75" hidden="false" customHeight="true" outlineLevel="0" collapsed="false">
      <c r="A822" s="19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customFormat="false" ht="15.75" hidden="false" customHeight="true" outlineLevel="0" collapsed="false">
      <c r="A823" s="19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customFormat="false" ht="15.75" hidden="false" customHeight="true" outlineLevel="0" collapsed="false">
      <c r="A824" s="19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customFormat="false" ht="15.75" hidden="false" customHeight="true" outlineLevel="0" collapsed="false">
      <c r="A825" s="19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customFormat="false" ht="15.75" hidden="false" customHeight="true" outlineLevel="0" collapsed="false">
      <c r="A826" s="19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customFormat="false" ht="15.75" hidden="false" customHeight="true" outlineLevel="0" collapsed="false">
      <c r="A827" s="19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customFormat="false" ht="15.75" hidden="false" customHeight="true" outlineLevel="0" collapsed="false">
      <c r="A828" s="19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customFormat="false" ht="15.75" hidden="false" customHeight="true" outlineLevel="0" collapsed="false">
      <c r="A829" s="19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customFormat="false" ht="15.75" hidden="false" customHeight="true" outlineLevel="0" collapsed="false">
      <c r="A830" s="19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customFormat="false" ht="15.75" hidden="false" customHeight="true" outlineLevel="0" collapsed="false">
      <c r="A831" s="19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customFormat="false" ht="15.75" hidden="false" customHeight="true" outlineLevel="0" collapsed="false">
      <c r="A832" s="19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customFormat="false" ht="15.75" hidden="false" customHeight="true" outlineLevel="0" collapsed="false">
      <c r="A833" s="19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customFormat="false" ht="15.75" hidden="false" customHeight="true" outlineLevel="0" collapsed="false">
      <c r="A834" s="19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customFormat="false" ht="15.75" hidden="false" customHeight="true" outlineLevel="0" collapsed="false">
      <c r="A835" s="19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customFormat="false" ht="15.75" hidden="false" customHeight="true" outlineLevel="0" collapsed="false">
      <c r="A836" s="19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customFormat="false" ht="15.75" hidden="false" customHeight="true" outlineLevel="0" collapsed="false">
      <c r="A837" s="19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customFormat="false" ht="15.75" hidden="false" customHeight="true" outlineLevel="0" collapsed="false">
      <c r="A838" s="19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customFormat="false" ht="15.75" hidden="false" customHeight="true" outlineLevel="0" collapsed="false">
      <c r="A839" s="19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customFormat="false" ht="15.75" hidden="false" customHeight="true" outlineLevel="0" collapsed="false">
      <c r="A840" s="19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customFormat="false" ht="15.75" hidden="false" customHeight="true" outlineLevel="0" collapsed="false">
      <c r="A841" s="19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customFormat="false" ht="15.75" hidden="false" customHeight="true" outlineLevel="0" collapsed="false">
      <c r="A842" s="19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customFormat="false" ht="15.75" hidden="false" customHeight="true" outlineLevel="0" collapsed="false">
      <c r="A843" s="19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customFormat="false" ht="15.75" hidden="false" customHeight="true" outlineLevel="0" collapsed="false">
      <c r="A844" s="19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customFormat="false" ht="15.75" hidden="false" customHeight="true" outlineLevel="0" collapsed="false">
      <c r="A845" s="19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customFormat="false" ht="15.75" hidden="false" customHeight="true" outlineLevel="0" collapsed="false">
      <c r="A846" s="19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customFormat="false" ht="15.75" hidden="false" customHeight="true" outlineLevel="0" collapsed="false">
      <c r="A847" s="19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customFormat="false" ht="15.75" hidden="false" customHeight="true" outlineLevel="0" collapsed="false">
      <c r="A848" s="19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customFormat="false" ht="15.75" hidden="false" customHeight="true" outlineLevel="0" collapsed="false">
      <c r="A849" s="19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customFormat="false" ht="15.75" hidden="false" customHeight="true" outlineLevel="0" collapsed="false">
      <c r="A850" s="19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customFormat="false" ht="15.75" hidden="false" customHeight="true" outlineLevel="0" collapsed="false">
      <c r="A851" s="19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customFormat="false" ht="15.75" hidden="false" customHeight="true" outlineLevel="0" collapsed="false">
      <c r="A852" s="19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customFormat="false" ht="15.75" hidden="false" customHeight="true" outlineLevel="0" collapsed="false">
      <c r="A853" s="19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customFormat="false" ht="15.75" hidden="false" customHeight="true" outlineLevel="0" collapsed="false">
      <c r="A854" s="19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customFormat="false" ht="15.75" hidden="false" customHeight="true" outlineLevel="0" collapsed="false">
      <c r="A855" s="19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customFormat="false" ht="15.75" hidden="false" customHeight="true" outlineLevel="0" collapsed="false">
      <c r="A856" s="19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customFormat="false" ht="15.75" hidden="false" customHeight="true" outlineLevel="0" collapsed="false">
      <c r="A857" s="19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customFormat="false" ht="15.75" hidden="false" customHeight="true" outlineLevel="0" collapsed="false">
      <c r="A858" s="19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customFormat="false" ht="15.75" hidden="false" customHeight="true" outlineLevel="0" collapsed="false">
      <c r="A859" s="19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customFormat="false" ht="15.75" hidden="false" customHeight="true" outlineLevel="0" collapsed="false">
      <c r="A860" s="19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customFormat="false" ht="15.75" hidden="false" customHeight="true" outlineLevel="0" collapsed="false">
      <c r="A861" s="19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customFormat="false" ht="15.75" hidden="false" customHeight="true" outlineLevel="0" collapsed="false">
      <c r="A862" s="19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customFormat="false" ht="15.75" hidden="false" customHeight="true" outlineLevel="0" collapsed="false">
      <c r="A863" s="19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customFormat="false" ht="15.75" hidden="false" customHeight="true" outlineLevel="0" collapsed="false">
      <c r="A864" s="19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customFormat="false" ht="15.75" hidden="false" customHeight="true" outlineLevel="0" collapsed="false">
      <c r="A865" s="19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customFormat="false" ht="15.75" hidden="false" customHeight="true" outlineLevel="0" collapsed="false">
      <c r="A866" s="19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customFormat="false" ht="15.75" hidden="false" customHeight="true" outlineLevel="0" collapsed="false">
      <c r="A867" s="19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customFormat="false" ht="15.75" hidden="false" customHeight="true" outlineLevel="0" collapsed="false">
      <c r="A868" s="19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customFormat="false" ht="15.75" hidden="false" customHeight="true" outlineLevel="0" collapsed="false">
      <c r="A869" s="19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customFormat="false" ht="15.75" hidden="false" customHeight="true" outlineLevel="0" collapsed="false">
      <c r="A870" s="19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customFormat="false" ht="15.75" hidden="false" customHeight="true" outlineLevel="0" collapsed="false">
      <c r="A871" s="19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customFormat="false" ht="15.75" hidden="false" customHeight="true" outlineLevel="0" collapsed="false">
      <c r="A872" s="19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customFormat="false" ht="15.75" hidden="false" customHeight="true" outlineLevel="0" collapsed="false">
      <c r="A873" s="19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customFormat="false" ht="15.75" hidden="false" customHeight="true" outlineLevel="0" collapsed="false">
      <c r="A874" s="19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customFormat="false" ht="15.75" hidden="false" customHeight="true" outlineLevel="0" collapsed="false">
      <c r="A875" s="19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customFormat="false" ht="15.75" hidden="false" customHeight="true" outlineLevel="0" collapsed="false">
      <c r="A876" s="19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customFormat="false" ht="15.75" hidden="false" customHeight="true" outlineLevel="0" collapsed="false">
      <c r="A877" s="19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customFormat="false" ht="15.75" hidden="false" customHeight="true" outlineLevel="0" collapsed="false">
      <c r="A878" s="19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customFormat="false" ht="15.75" hidden="false" customHeight="true" outlineLevel="0" collapsed="false">
      <c r="A879" s="19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customFormat="false" ht="15.75" hidden="false" customHeight="true" outlineLevel="0" collapsed="false">
      <c r="A880" s="19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customFormat="false" ht="15.75" hidden="false" customHeight="true" outlineLevel="0" collapsed="false">
      <c r="A881" s="19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customFormat="false" ht="15.75" hidden="false" customHeight="true" outlineLevel="0" collapsed="false">
      <c r="A882" s="19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customFormat="false" ht="15.75" hidden="false" customHeight="true" outlineLevel="0" collapsed="false">
      <c r="A883" s="19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customFormat="false" ht="15.75" hidden="false" customHeight="true" outlineLevel="0" collapsed="false">
      <c r="A884" s="19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customFormat="false" ht="15.75" hidden="false" customHeight="true" outlineLevel="0" collapsed="false">
      <c r="A885" s="19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customFormat="false" ht="15.75" hidden="false" customHeight="true" outlineLevel="0" collapsed="false">
      <c r="A886" s="19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customFormat="false" ht="15.75" hidden="false" customHeight="true" outlineLevel="0" collapsed="false">
      <c r="A887" s="19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customFormat="false" ht="15.75" hidden="false" customHeight="true" outlineLevel="0" collapsed="false">
      <c r="A888" s="19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customFormat="false" ht="15.75" hidden="false" customHeight="true" outlineLevel="0" collapsed="false">
      <c r="A889" s="19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customFormat="false" ht="15.75" hidden="false" customHeight="true" outlineLevel="0" collapsed="false">
      <c r="A890" s="19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customFormat="false" ht="15.75" hidden="false" customHeight="true" outlineLevel="0" collapsed="false">
      <c r="A891" s="19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customFormat="false" ht="15.75" hidden="false" customHeight="true" outlineLevel="0" collapsed="false">
      <c r="A892" s="19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customFormat="false" ht="15.75" hidden="false" customHeight="true" outlineLevel="0" collapsed="false">
      <c r="A893" s="19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customFormat="false" ht="15.75" hidden="false" customHeight="true" outlineLevel="0" collapsed="false">
      <c r="A894" s="19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customFormat="false" ht="15.75" hidden="false" customHeight="true" outlineLevel="0" collapsed="false">
      <c r="A895" s="19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customFormat="false" ht="15.75" hidden="false" customHeight="true" outlineLevel="0" collapsed="false">
      <c r="A896" s="19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customFormat="false" ht="15.75" hidden="false" customHeight="true" outlineLevel="0" collapsed="false">
      <c r="A897" s="19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customFormat="false" ht="15.75" hidden="false" customHeight="true" outlineLevel="0" collapsed="false">
      <c r="A898" s="19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customFormat="false" ht="15.75" hidden="false" customHeight="true" outlineLevel="0" collapsed="false">
      <c r="A899" s="19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customFormat="false" ht="15.75" hidden="false" customHeight="true" outlineLevel="0" collapsed="false">
      <c r="A900" s="19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customFormat="false" ht="15.75" hidden="false" customHeight="true" outlineLevel="0" collapsed="false">
      <c r="A901" s="19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customFormat="false" ht="15.75" hidden="false" customHeight="true" outlineLevel="0" collapsed="false">
      <c r="A902" s="19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customFormat="false" ht="15.75" hidden="false" customHeight="true" outlineLevel="0" collapsed="false">
      <c r="A903" s="19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customFormat="false" ht="15.75" hidden="false" customHeight="true" outlineLevel="0" collapsed="false">
      <c r="A904" s="19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customFormat="false" ht="15.75" hidden="false" customHeight="true" outlineLevel="0" collapsed="false">
      <c r="A905" s="19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customFormat="false" ht="15.75" hidden="false" customHeight="true" outlineLevel="0" collapsed="false">
      <c r="A906" s="19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customFormat="false" ht="15.75" hidden="false" customHeight="true" outlineLevel="0" collapsed="false">
      <c r="A907" s="19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customFormat="false" ht="15.75" hidden="false" customHeight="true" outlineLevel="0" collapsed="false">
      <c r="A908" s="19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customFormat="false" ht="15.75" hidden="false" customHeight="true" outlineLevel="0" collapsed="false">
      <c r="A909" s="19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customFormat="false" ht="15.75" hidden="false" customHeight="true" outlineLevel="0" collapsed="false">
      <c r="A910" s="19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customFormat="false" ht="15.75" hidden="false" customHeight="true" outlineLevel="0" collapsed="false">
      <c r="A911" s="19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customFormat="false" ht="15.75" hidden="false" customHeight="true" outlineLevel="0" collapsed="false">
      <c r="A912" s="19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customFormat="false" ht="15.75" hidden="false" customHeight="true" outlineLevel="0" collapsed="false">
      <c r="A913" s="19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customFormat="false" ht="15.75" hidden="false" customHeight="true" outlineLevel="0" collapsed="false">
      <c r="A914" s="19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customFormat="false" ht="15.75" hidden="false" customHeight="true" outlineLevel="0" collapsed="false">
      <c r="A915" s="19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customFormat="false" ht="15.75" hidden="false" customHeight="true" outlineLevel="0" collapsed="false">
      <c r="A916" s="19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customFormat="false" ht="15.75" hidden="false" customHeight="true" outlineLevel="0" collapsed="false">
      <c r="A917" s="19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customFormat="false" ht="15.75" hidden="false" customHeight="true" outlineLevel="0" collapsed="false">
      <c r="A918" s="19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customFormat="false" ht="15.75" hidden="false" customHeight="true" outlineLevel="0" collapsed="false">
      <c r="A919" s="19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customFormat="false" ht="15.75" hidden="false" customHeight="true" outlineLevel="0" collapsed="false">
      <c r="A920" s="19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customFormat="false" ht="15.75" hidden="false" customHeight="true" outlineLevel="0" collapsed="false">
      <c r="A921" s="19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customFormat="false" ht="15.75" hidden="false" customHeight="true" outlineLevel="0" collapsed="false">
      <c r="A922" s="19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customFormat="false" ht="15.75" hidden="false" customHeight="true" outlineLevel="0" collapsed="false">
      <c r="A923" s="19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customFormat="false" ht="15.75" hidden="false" customHeight="true" outlineLevel="0" collapsed="false">
      <c r="A924" s="19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customFormat="false" ht="15.75" hidden="false" customHeight="true" outlineLevel="0" collapsed="false">
      <c r="A925" s="19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customFormat="false" ht="15.75" hidden="false" customHeight="true" outlineLevel="0" collapsed="false">
      <c r="A926" s="19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customFormat="false" ht="15.75" hidden="false" customHeight="true" outlineLevel="0" collapsed="false">
      <c r="A927" s="19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customFormat="false" ht="15.75" hidden="false" customHeight="true" outlineLevel="0" collapsed="false">
      <c r="A928" s="19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customFormat="false" ht="15.75" hidden="false" customHeight="true" outlineLevel="0" collapsed="false">
      <c r="A929" s="19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customFormat="false" ht="15.75" hidden="false" customHeight="true" outlineLevel="0" collapsed="false">
      <c r="A930" s="19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customFormat="false" ht="15.75" hidden="false" customHeight="true" outlineLevel="0" collapsed="false">
      <c r="A931" s="19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customFormat="false" ht="15.75" hidden="false" customHeight="true" outlineLevel="0" collapsed="false">
      <c r="A932" s="19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customFormat="false" ht="15.75" hidden="false" customHeight="true" outlineLevel="0" collapsed="false">
      <c r="A933" s="19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customFormat="false" ht="15.75" hidden="false" customHeight="true" outlineLevel="0" collapsed="false">
      <c r="A934" s="19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customFormat="false" ht="15.75" hidden="false" customHeight="true" outlineLevel="0" collapsed="false">
      <c r="A935" s="19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customFormat="false" ht="15.75" hidden="false" customHeight="true" outlineLevel="0" collapsed="false">
      <c r="A936" s="19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customFormat="false" ht="15.75" hidden="false" customHeight="true" outlineLevel="0" collapsed="false">
      <c r="A937" s="19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customFormat="false" ht="15.75" hidden="false" customHeight="true" outlineLevel="0" collapsed="false">
      <c r="A938" s="19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customFormat="false" ht="15.75" hidden="false" customHeight="true" outlineLevel="0" collapsed="false">
      <c r="A939" s="19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customFormat="false" ht="15.75" hidden="false" customHeight="true" outlineLevel="0" collapsed="false">
      <c r="A940" s="19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customFormat="false" ht="15.75" hidden="false" customHeight="true" outlineLevel="0" collapsed="false">
      <c r="A941" s="19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customFormat="false" ht="15.75" hidden="false" customHeight="true" outlineLevel="0" collapsed="false">
      <c r="A942" s="19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customFormat="false" ht="15.75" hidden="false" customHeight="true" outlineLevel="0" collapsed="false">
      <c r="A943" s="19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customFormat="false" ht="15.75" hidden="false" customHeight="true" outlineLevel="0" collapsed="false">
      <c r="A944" s="19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customFormat="false" ht="15.75" hidden="false" customHeight="true" outlineLevel="0" collapsed="false">
      <c r="A945" s="19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customFormat="false" ht="15.75" hidden="false" customHeight="true" outlineLevel="0" collapsed="false">
      <c r="A946" s="19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customFormat="false" ht="15.75" hidden="false" customHeight="true" outlineLevel="0" collapsed="false">
      <c r="A947" s="19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customFormat="false" ht="15.75" hidden="false" customHeight="true" outlineLevel="0" collapsed="false">
      <c r="A948" s="19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customFormat="false" ht="15.75" hidden="false" customHeight="true" outlineLevel="0" collapsed="false">
      <c r="A949" s="19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customFormat="false" ht="15.75" hidden="false" customHeight="true" outlineLevel="0" collapsed="false">
      <c r="A950" s="19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customFormat="false" ht="15.75" hidden="false" customHeight="true" outlineLevel="0" collapsed="false">
      <c r="A951" s="19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customFormat="false" ht="15.75" hidden="false" customHeight="true" outlineLevel="0" collapsed="false">
      <c r="A952" s="19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customFormat="false" ht="15.75" hidden="false" customHeight="true" outlineLevel="0" collapsed="false">
      <c r="A953" s="19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customFormat="false" ht="15.75" hidden="false" customHeight="true" outlineLevel="0" collapsed="false">
      <c r="A954" s="19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customFormat="false" ht="15.75" hidden="false" customHeight="true" outlineLevel="0" collapsed="false">
      <c r="A955" s="19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customFormat="false" ht="15.75" hidden="false" customHeight="true" outlineLevel="0" collapsed="false">
      <c r="A956" s="19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customFormat="false" ht="15.75" hidden="false" customHeight="true" outlineLevel="0" collapsed="false">
      <c r="A957" s="19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customFormat="false" ht="15.75" hidden="false" customHeight="true" outlineLevel="0" collapsed="false">
      <c r="A958" s="19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customFormat="false" ht="15.75" hidden="false" customHeight="true" outlineLevel="0" collapsed="false">
      <c r="A959" s="19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customFormat="false" ht="15.75" hidden="false" customHeight="true" outlineLevel="0" collapsed="false">
      <c r="A960" s="19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customFormat="false" ht="15.75" hidden="false" customHeight="true" outlineLevel="0" collapsed="false">
      <c r="A961" s="19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customFormat="false" ht="15.75" hidden="false" customHeight="true" outlineLevel="0" collapsed="false">
      <c r="A962" s="19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customFormat="false" ht="15.75" hidden="false" customHeight="true" outlineLevel="0" collapsed="false">
      <c r="A963" s="19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customFormat="false" ht="15.75" hidden="false" customHeight="true" outlineLevel="0" collapsed="false">
      <c r="A964" s="19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customFormat="false" ht="15.75" hidden="false" customHeight="true" outlineLevel="0" collapsed="false">
      <c r="A965" s="19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customFormat="false" ht="15.75" hidden="false" customHeight="true" outlineLevel="0" collapsed="false">
      <c r="A966" s="19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customFormat="false" ht="15.75" hidden="false" customHeight="true" outlineLevel="0" collapsed="false">
      <c r="A967" s="19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customFormat="false" ht="15.75" hidden="false" customHeight="true" outlineLevel="0" collapsed="false">
      <c r="A968" s="19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customFormat="false" ht="15.75" hidden="false" customHeight="true" outlineLevel="0" collapsed="false">
      <c r="A969" s="19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customFormat="false" ht="15.75" hidden="false" customHeight="true" outlineLevel="0" collapsed="false">
      <c r="A970" s="19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customFormat="false" ht="15.75" hidden="false" customHeight="true" outlineLevel="0" collapsed="false">
      <c r="A971" s="19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customFormat="false" ht="15.75" hidden="false" customHeight="true" outlineLevel="0" collapsed="false">
      <c r="A972" s="19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customFormat="false" ht="15.75" hidden="false" customHeight="true" outlineLevel="0" collapsed="false">
      <c r="A973" s="19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customFormat="false" ht="15.75" hidden="false" customHeight="true" outlineLevel="0" collapsed="false">
      <c r="A974" s="19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customFormat="false" ht="15.75" hidden="false" customHeight="true" outlineLevel="0" collapsed="false">
      <c r="A975" s="19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customFormat="false" ht="15.75" hidden="false" customHeight="true" outlineLevel="0" collapsed="false">
      <c r="A976" s="19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customFormat="false" ht="15.75" hidden="false" customHeight="true" outlineLevel="0" collapsed="false">
      <c r="A977" s="19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customFormat="false" ht="15.75" hidden="false" customHeight="true" outlineLevel="0" collapsed="false">
      <c r="A978" s="19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customFormat="false" ht="15.75" hidden="false" customHeight="true" outlineLevel="0" collapsed="false">
      <c r="A979" s="19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customFormat="false" ht="15.75" hidden="false" customHeight="true" outlineLevel="0" collapsed="false">
      <c r="A980" s="19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customFormat="false" ht="15.75" hidden="false" customHeight="true" outlineLevel="0" collapsed="false">
      <c r="A981" s="19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customFormat="false" ht="15.75" hidden="false" customHeight="true" outlineLevel="0" collapsed="false">
      <c r="A982" s="19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customFormat="false" ht="15.75" hidden="false" customHeight="true" outlineLevel="0" collapsed="false">
      <c r="A983" s="19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customFormat="false" ht="15.75" hidden="false" customHeight="true" outlineLevel="0" collapsed="false">
      <c r="A984" s="19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customFormat="false" ht="15.75" hidden="false" customHeight="true" outlineLevel="0" collapsed="false">
      <c r="A985" s="19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customFormat="false" ht="15.75" hidden="false" customHeight="true" outlineLevel="0" collapsed="false">
      <c r="A986" s="19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customFormat="false" ht="15.75" hidden="false" customHeight="true" outlineLevel="0" collapsed="false">
      <c r="A987" s="19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customFormat="false" ht="15.75" hidden="false" customHeight="true" outlineLevel="0" collapsed="false">
      <c r="A988" s="19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customFormat="false" ht="15.75" hidden="false" customHeight="true" outlineLevel="0" collapsed="false">
      <c r="A989" s="19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customFormat="false" ht="15.75" hidden="false" customHeight="true" outlineLevel="0" collapsed="false">
      <c r="A990" s="19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customFormat="false" ht="15.75" hidden="false" customHeight="true" outlineLevel="0" collapsed="false">
      <c r="A991" s="19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customFormat="false" ht="15.75" hidden="false" customHeight="true" outlineLevel="0" collapsed="false">
      <c r="A992" s="19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customFormat="false" ht="15.75" hidden="false" customHeight="true" outlineLevel="0" collapsed="false">
      <c r="A993" s="19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customFormat="false" ht="15.75" hidden="false" customHeight="true" outlineLevel="0" collapsed="false">
      <c r="A994" s="19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customFormat="false" ht="15.75" hidden="false" customHeight="true" outlineLevel="0" collapsed="false">
      <c r="A995" s="19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customFormat="false" ht="15.75" hidden="false" customHeight="true" outlineLevel="0" collapsed="false">
      <c r="A996" s="19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customFormat="false" ht="15.75" hidden="false" customHeight="true" outlineLevel="0" collapsed="false">
      <c r="A997" s="19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customFormat="false" ht="15.75" hidden="false" customHeight="true" outlineLevel="0" collapsed="false">
      <c r="A998" s="19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 customFormat="false" ht="15.75" hidden="false" customHeight="true" outlineLevel="0" collapsed="false">
      <c r="A999" s="19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 customFormat="false" ht="15.75" hidden="false" customHeight="true" outlineLevel="0" collapsed="false">
      <c r="A1000" s="19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 customFormat="false" ht="15.75" hidden="false" customHeight="true" outlineLevel="0" collapsed="false">
      <c r="A1001" s="19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  <row r="1002" customFormat="false" ht="15.75" hidden="false" customHeight="true" outlineLevel="0" collapsed="false">
      <c r="A1002" s="19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</row>
    <row r="1003" customFormat="false" ht="15.75" hidden="false" customHeight="true" outlineLevel="0" collapsed="false">
      <c r="A1003" s="19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</row>
    <row r="1004" customFormat="false" ht="15.75" hidden="false" customHeight="true" outlineLevel="0" collapsed="false">
      <c r="A1004" s="19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</row>
    <row r="1005" customFormat="false" ht="15.75" hidden="false" customHeight="true" outlineLevel="0" collapsed="false">
      <c r="A1005" s="19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</row>
    <row r="1006" customFormat="false" ht="15.75" hidden="false" customHeight="true" outlineLevel="0" collapsed="false">
      <c r="A1006" s="19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</row>
    <row r="1007" customFormat="false" ht="15.75" hidden="false" customHeight="true" outlineLevel="0" collapsed="false">
      <c r="A1007" s="19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</row>
    <row r="1008" customFormat="false" ht="15.75" hidden="false" customHeight="true" outlineLevel="0" collapsed="false">
      <c r="A1008" s="19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</row>
    <row r="1009" customFormat="false" ht="15.75" hidden="false" customHeight="true" outlineLevel="0" collapsed="false">
      <c r="A1009" s="19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</row>
    <row r="1010" customFormat="false" ht="15.75" hidden="false" customHeight="true" outlineLevel="0" collapsed="false">
      <c r="A1010" s="19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</row>
    <row r="1011" customFormat="false" ht="15.75" hidden="false" customHeight="true" outlineLevel="0" collapsed="false">
      <c r="A1011" s="19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</row>
    <row r="1012" customFormat="false" ht="15.75" hidden="false" customHeight="true" outlineLevel="0" collapsed="false">
      <c r="A1012" s="19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</row>
    <row r="1013" customFormat="false" ht="15.75" hidden="false" customHeight="true" outlineLevel="0" collapsed="false">
      <c r="A1013" s="19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</row>
    <row r="1014" customFormat="false" ht="15.75" hidden="false" customHeight="true" outlineLevel="0" collapsed="false">
      <c r="A1014" s="19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</row>
    <row r="1015" customFormat="false" ht="15.75" hidden="false" customHeight="true" outlineLevel="0" collapsed="false">
      <c r="A1015" s="19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</row>
    <row r="1016" customFormat="false" ht="15.75" hidden="false" customHeight="true" outlineLevel="0" collapsed="false">
      <c r="A1016" s="19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</row>
    <row r="1017" customFormat="false" ht="15.75" hidden="false" customHeight="true" outlineLevel="0" collapsed="false">
      <c r="A1017" s="19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</row>
    <row r="1018" customFormat="false" ht="15.75" hidden="false" customHeight="true" outlineLevel="0" collapsed="false">
      <c r="A1018" s="19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</row>
    <row r="1019" customFormat="false" ht="15.75" hidden="false" customHeight="true" outlineLevel="0" collapsed="false">
      <c r="A1019" s="19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</row>
    <row r="1020" customFormat="false" ht="15.75" hidden="false" customHeight="true" outlineLevel="0" collapsed="false">
      <c r="A1020" s="19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</row>
    <row r="1021" customFormat="false" ht="15.75" hidden="false" customHeight="true" outlineLevel="0" collapsed="false">
      <c r="A1021" s="19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</row>
    <row r="1022" customFormat="false" ht="15.75" hidden="false" customHeight="true" outlineLevel="0" collapsed="false">
      <c r="A1022" s="19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</row>
    <row r="1023" customFormat="false" ht="15.75" hidden="false" customHeight="true" outlineLevel="0" collapsed="false">
      <c r="A1023" s="19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</row>
    <row r="1024" customFormat="false" ht="15.75" hidden="false" customHeight="true" outlineLevel="0" collapsed="false">
      <c r="A1024" s="19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</row>
    <row r="1025" customFormat="false" ht="15.75" hidden="false" customHeight="true" outlineLevel="0" collapsed="false">
      <c r="A1025" s="19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</row>
    <row r="1026" customFormat="false" ht="15.75" hidden="false" customHeight="true" outlineLevel="0" collapsed="false">
      <c r="A1026" s="19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</row>
    <row r="1027" customFormat="false" ht="15.75" hidden="false" customHeight="true" outlineLevel="0" collapsed="false">
      <c r="A1027" s="19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</row>
    <row r="1028" customFormat="false" ht="15.75" hidden="false" customHeight="true" outlineLevel="0" collapsed="false">
      <c r="A1028" s="19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</row>
    <row r="1029" customFormat="false" ht="15.75" hidden="false" customHeight="true" outlineLevel="0" collapsed="false">
      <c r="A1029" s="19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</row>
    <row r="1030" customFormat="false" ht="15.75" hidden="false" customHeight="true" outlineLevel="0" collapsed="false">
      <c r="A1030" s="19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</row>
    <row r="1031" customFormat="false" ht="15.75" hidden="false" customHeight="true" outlineLevel="0" collapsed="false">
      <c r="A1031" s="19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</row>
    <row r="1032" customFormat="false" ht="15.75" hidden="false" customHeight="true" outlineLevel="0" collapsed="false">
      <c r="A1032" s="19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</row>
    <row r="1033" customFormat="false" ht="15.75" hidden="false" customHeight="true" outlineLevel="0" collapsed="false">
      <c r="A1033" s="19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</row>
    <row r="1034" customFormat="false" ht="15.75" hidden="false" customHeight="true" outlineLevel="0" collapsed="false">
      <c r="A1034" s="19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</row>
    <row r="1035" customFormat="false" ht="15.75" hidden="false" customHeight="true" outlineLevel="0" collapsed="false">
      <c r="A1035" s="19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</row>
    <row r="1036" customFormat="false" ht="15.75" hidden="false" customHeight="true" outlineLevel="0" collapsed="false">
      <c r="A1036" s="19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</row>
    <row r="1037" customFormat="false" ht="15.75" hidden="false" customHeight="true" outlineLevel="0" collapsed="false">
      <c r="A1037" s="19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</row>
    <row r="1038" customFormat="false" ht="15.75" hidden="false" customHeight="true" outlineLevel="0" collapsed="false">
      <c r="A1038" s="19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</row>
    <row r="1039" customFormat="false" ht="15.75" hidden="false" customHeight="true" outlineLevel="0" collapsed="false">
      <c r="A1039" s="19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</row>
    <row r="1040" customFormat="false" ht="15.75" hidden="false" customHeight="true" outlineLevel="0" collapsed="false">
      <c r="A1040" s="19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</row>
    <row r="1041" customFormat="false" ht="15.75" hidden="false" customHeight="true" outlineLevel="0" collapsed="false">
      <c r="A1041" s="19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</row>
    <row r="1042" customFormat="false" ht="15.75" hidden="false" customHeight="true" outlineLevel="0" collapsed="false">
      <c r="A1042" s="19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</row>
    <row r="1043" customFormat="false" ht="15.75" hidden="false" customHeight="true" outlineLevel="0" collapsed="false">
      <c r="A1043" s="19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</row>
    <row r="1044" customFormat="false" ht="15.75" hidden="false" customHeight="true" outlineLevel="0" collapsed="false">
      <c r="A1044" s="19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</row>
    <row r="1045" customFormat="false" ht="15.75" hidden="false" customHeight="true" outlineLevel="0" collapsed="false">
      <c r="A1045" s="19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</row>
    <row r="1046" customFormat="false" ht="15.75" hidden="false" customHeight="true" outlineLevel="0" collapsed="false">
      <c r="A1046" s="19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</row>
    <row r="1047" customFormat="false" ht="15.75" hidden="false" customHeight="true" outlineLevel="0" collapsed="false">
      <c r="A1047" s="19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</row>
    <row r="1048" customFormat="false" ht="15.75" hidden="false" customHeight="true" outlineLevel="0" collapsed="false">
      <c r="A1048" s="19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</row>
    <row r="1049" customFormat="false" ht="15.75" hidden="false" customHeight="true" outlineLevel="0" collapsed="false">
      <c r="A1049" s="19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</row>
    <row r="1050" customFormat="false" ht="15.75" hidden="false" customHeight="true" outlineLevel="0" collapsed="false">
      <c r="A1050" s="19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</row>
    <row r="1051" customFormat="false" ht="15.75" hidden="false" customHeight="true" outlineLevel="0" collapsed="false">
      <c r="A1051" s="19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</row>
    <row r="1052" customFormat="false" ht="15.75" hidden="false" customHeight="true" outlineLevel="0" collapsed="false">
      <c r="A1052" s="19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</row>
    <row r="1053" customFormat="false" ht="15.75" hidden="false" customHeight="true" outlineLevel="0" collapsed="false">
      <c r="A1053" s="19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</row>
    <row r="1054" customFormat="false" ht="15.75" hidden="false" customHeight="true" outlineLevel="0" collapsed="false">
      <c r="A1054" s="19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</row>
    <row r="1055" customFormat="false" ht="15.75" hidden="false" customHeight="true" outlineLevel="0" collapsed="false">
      <c r="A1055" s="19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</row>
    <row r="1056" customFormat="false" ht="15.75" hidden="false" customHeight="true" outlineLevel="0" collapsed="false">
      <c r="A1056" s="19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</row>
    <row r="1057" customFormat="false" ht="15.75" hidden="false" customHeight="true" outlineLevel="0" collapsed="false">
      <c r="A1057" s="19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</row>
    <row r="1058" customFormat="false" ht="15.75" hidden="false" customHeight="true" outlineLevel="0" collapsed="false">
      <c r="A1058" s="19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</row>
    <row r="1059" customFormat="false" ht="15.75" hidden="false" customHeight="true" outlineLevel="0" collapsed="false">
      <c r="A1059" s="19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</row>
    <row r="1060" customFormat="false" ht="15.75" hidden="false" customHeight="true" outlineLevel="0" collapsed="false">
      <c r="A1060" s="19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</row>
    <row r="1061" customFormat="false" ht="15.75" hidden="false" customHeight="true" outlineLevel="0" collapsed="false">
      <c r="A1061" s="19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</row>
    <row r="1062" customFormat="false" ht="15.75" hidden="false" customHeight="true" outlineLevel="0" collapsed="false">
      <c r="A1062" s="19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</row>
    <row r="1063" customFormat="false" ht="15.75" hidden="false" customHeight="true" outlineLevel="0" collapsed="false">
      <c r="A1063" s="19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</row>
    <row r="1064" customFormat="false" ht="15.75" hidden="false" customHeight="true" outlineLevel="0" collapsed="false">
      <c r="A1064" s="19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</row>
    <row r="1065" customFormat="false" ht="15.75" hidden="false" customHeight="true" outlineLevel="0" collapsed="false">
      <c r="A1065" s="19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</row>
    <row r="1066" customFormat="false" ht="15.75" hidden="false" customHeight="true" outlineLevel="0" collapsed="false">
      <c r="A1066" s="19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</row>
    <row r="1067" customFormat="false" ht="15.75" hidden="false" customHeight="true" outlineLevel="0" collapsed="false">
      <c r="A1067" s="19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</row>
    <row r="1068" customFormat="false" ht="15.75" hidden="false" customHeight="true" outlineLevel="0" collapsed="false">
      <c r="A1068" s="19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</row>
    <row r="1069" customFormat="false" ht="15.75" hidden="false" customHeight="true" outlineLevel="0" collapsed="false">
      <c r="A1069" s="19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</row>
    <row r="1070" customFormat="false" ht="15.75" hidden="false" customHeight="true" outlineLevel="0" collapsed="false">
      <c r="A1070" s="19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</row>
    <row r="1071" customFormat="false" ht="15.75" hidden="false" customHeight="true" outlineLevel="0" collapsed="false">
      <c r="A1071" s="19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</row>
    <row r="1072" customFormat="false" ht="15.75" hidden="false" customHeight="true" outlineLevel="0" collapsed="false">
      <c r="A1072" s="19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</row>
    <row r="1073" customFormat="false" ht="15.75" hidden="false" customHeight="true" outlineLevel="0" collapsed="false">
      <c r="A1073" s="19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</row>
    <row r="1074" customFormat="false" ht="15.75" hidden="false" customHeight="true" outlineLevel="0" collapsed="false">
      <c r="A1074" s="19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</row>
    <row r="1075" customFormat="false" ht="15.75" hidden="false" customHeight="true" outlineLevel="0" collapsed="false">
      <c r="A1075" s="19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</row>
    <row r="1076" customFormat="false" ht="15.75" hidden="false" customHeight="true" outlineLevel="0" collapsed="false">
      <c r="A1076" s="19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</row>
    <row r="1077" customFormat="false" ht="15.75" hidden="false" customHeight="true" outlineLevel="0" collapsed="false">
      <c r="A1077" s="19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</row>
    <row r="1078" customFormat="false" ht="15.75" hidden="false" customHeight="true" outlineLevel="0" collapsed="false">
      <c r="A1078" s="19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</row>
    <row r="1079" customFormat="false" ht="15.75" hidden="false" customHeight="true" outlineLevel="0" collapsed="false">
      <c r="A1079" s="19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</row>
    <row r="1080" customFormat="false" ht="15.75" hidden="false" customHeight="true" outlineLevel="0" collapsed="false">
      <c r="A1080" s="19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</row>
    <row r="1081" customFormat="false" ht="15.75" hidden="false" customHeight="true" outlineLevel="0" collapsed="false">
      <c r="A1081" s="19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</row>
    <row r="1082" customFormat="false" ht="15.75" hidden="false" customHeight="true" outlineLevel="0" collapsed="false">
      <c r="A1082" s="19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</row>
    <row r="1083" customFormat="false" ht="15.75" hidden="false" customHeight="true" outlineLevel="0" collapsed="false">
      <c r="A1083" s="19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</row>
    <row r="1084" customFormat="false" ht="15.75" hidden="false" customHeight="true" outlineLevel="0" collapsed="false">
      <c r="A1084" s="19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</row>
    <row r="1085" customFormat="false" ht="15.75" hidden="false" customHeight="true" outlineLevel="0" collapsed="false">
      <c r="A1085" s="19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</row>
    <row r="1086" customFormat="false" ht="15.75" hidden="false" customHeight="true" outlineLevel="0" collapsed="false">
      <c r="A1086" s="19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</row>
    <row r="1087" customFormat="false" ht="15.75" hidden="false" customHeight="true" outlineLevel="0" collapsed="false">
      <c r="A1087" s="19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</row>
    <row r="1088" customFormat="false" ht="15.75" hidden="false" customHeight="true" outlineLevel="0" collapsed="false">
      <c r="A1088" s="19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</row>
    <row r="1089" customFormat="false" ht="15.75" hidden="false" customHeight="true" outlineLevel="0" collapsed="false">
      <c r="A1089" s="19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</row>
    <row r="1090" customFormat="false" ht="15.75" hidden="false" customHeight="true" outlineLevel="0" collapsed="false">
      <c r="A1090" s="19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</row>
    <row r="1091" customFormat="false" ht="15.75" hidden="false" customHeight="true" outlineLevel="0" collapsed="false">
      <c r="A1091" s="19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</row>
    <row r="1092" customFormat="false" ht="15.75" hidden="false" customHeight="true" outlineLevel="0" collapsed="false">
      <c r="A1092" s="19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</row>
    <row r="1093" customFormat="false" ht="15.75" hidden="false" customHeight="true" outlineLevel="0" collapsed="false">
      <c r="A1093" s="19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</row>
    <row r="1094" customFormat="false" ht="15.75" hidden="false" customHeight="true" outlineLevel="0" collapsed="false">
      <c r="A1094" s="19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</row>
    <row r="1095" customFormat="false" ht="15.75" hidden="false" customHeight="true" outlineLevel="0" collapsed="false">
      <c r="A1095" s="19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</row>
    <row r="1096" customFormat="false" ht="15.75" hidden="false" customHeight="true" outlineLevel="0" collapsed="false">
      <c r="A1096" s="19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</row>
    <row r="1097" customFormat="false" ht="15.75" hidden="false" customHeight="true" outlineLevel="0" collapsed="false">
      <c r="A1097" s="19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</row>
    <row r="1098" customFormat="false" ht="15.75" hidden="false" customHeight="true" outlineLevel="0" collapsed="false">
      <c r="A1098" s="19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</row>
    <row r="1099" customFormat="false" ht="15.75" hidden="false" customHeight="true" outlineLevel="0" collapsed="false">
      <c r="A1099" s="19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</row>
    <row r="1100" customFormat="false" ht="15.75" hidden="false" customHeight="true" outlineLevel="0" collapsed="false">
      <c r="A1100" s="19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</row>
    <row r="1101" customFormat="false" ht="15.75" hidden="false" customHeight="true" outlineLevel="0" collapsed="false">
      <c r="A1101" s="19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</row>
    <row r="1102" customFormat="false" ht="15.75" hidden="false" customHeight="true" outlineLevel="0" collapsed="false">
      <c r="A1102" s="19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</row>
    <row r="1103" customFormat="false" ht="15.75" hidden="false" customHeight="true" outlineLevel="0" collapsed="false">
      <c r="A1103" s="19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</row>
    <row r="1104" customFormat="false" ht="15.75" hidden="false" customHeight="true" outlineLevel="0" collapsed="false">
      <c r="A1104" s="19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</row>
    <row r="1105" customFormat="false" ht="15.75" hidden="false" customHeight="true" outlineLevel="0" collapsed="false">
      <c r="A1105" s="19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</row>
    <row r="1106" customFormat="false" ht="15.75" hidden="false" customHeight="true" outlineLevel="0" collapsed="false">
      <c r="A1106" s="19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</row>
    <row r="1107" customFormat="false" ht="15.75" hidden="false" customHeight="true" outlineLevel="0" collapsed="false">
      <c r="A1107" s="19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</row>
    <row r="1108" customFormat="false" ht="15.75" hidden="false" customHeight="true" outlineLevel="0" collapsed="false">
      <c r="A1108" s="19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</row>
    <row r="1109" customFormat="false" ht="15.75" hidden="false" customHeight="true" outlineLevel="0" collapsed="false">
      <c r="A1109" s="19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</row>
    <row r="1110" customFormat="false" ht="15.75" hidden="false" customHeight="true" outlineLevel="0" collapsed="false">
      <c r="A1110" s="19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</row>
    <row r="1111" customFormat="false" ht="15.75" hidden="false" customHeight="true" outlineLevel="0" collapsed="false">
      <c r="A1111" s="19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</row>
    <row r="1112" customFormat="false" ht="15.75" hidden="false" customHeight="true" outlineLevel="0" collapsed="false">
      <c r="A1112" s="19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</row>
    <row r="1113" customFormat="false" ht="15.75" hidden="false" customHeight="true" outlineLevel="0" collapsed="false">
      <c r="A1113" s="19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</row>
    <row r="1114" customFormat="false" ht="15.75" hidden="false" customHeight="true" outlineLevel="0" collapsed="false">
      <c r="A1114" s="19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</row>
    <row r="1115" customFormat="false" ht="15.75" hidden="false" customHeight="true" outlineLevel="0" collapsed="false">
      <c r="A1115" s="19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</row>
    <row r="1116" customFormat="false" ht="15.75" hidden="false" customHeight="true" outlineLevel="0" collapsed="false">
      <c r="A1116" s="19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</row>
    <row r="1117" customFormat="false" ht="15.75" hidden="false" customHeight="true" outlineLevel="0" collapsed="false">
      <c r="A1117" s="19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</row>
    <row r="1118" customFormat="false" ht="15.75" hidden="false" customHeight="true" outlineLevel="0" collapsed="false">
      <c r="A1118" s="19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</row>
    <row r="1119" customFormat="false" ht="15.75" hidden="false" customHeight="true" outlineLevel="0" collapsed="false">
      <c r="A1119" s="19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</row>
    <row r="1120" customFormat="false" ht="15.75" hidden="false" customHeight="true" outlineLevel="0" collapsed="false">
      <c r="A1120" s="19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</row>
    <row r="1121" customFormat="false" ht="15.75" hidden="false" customHeight="true" outlineLevel="0" collapsed="false">
      <c r="A1121" s="19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</row>
    <row r="1122" customFormat="false" ht="15.75" hidden="false" customHeight="true" outlineLevel="0" collapsed="false">
      <c r="A1122" s="19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</row>
    <row r="1123" customFormat="false" ht="15.75" hidden="false" customHeight="true" outlineLevel="0" collapsed="false">
      <c r="A1123" s="19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</row>
    <row r="1124" customFormat="false" ht="15.75" hidden="false" customHeight="true" outlineLevel="0" collapsed="false">
      <c r="A1124" s="19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</row>
    <row r="1125" customFormat="false" ht="15.75" hidden="false" customHeight="true" outlineLevel="0" collapsed="false">
      <c r="A1125" s="19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</row>
    <row r="1126" customFormat="false" ht="15.75" hidden="false" customHeight="true" outlineLevel="0" collapsed="false">
      <c r="A1126" s="19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</row>
    <row r="1127" customFormat="false" ht="15.75" hidden="false" customHeight="true" outlineLevel="0" collapsed="false">
      <c r="A1127" s="19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</row>
    <row r="1128" customFormat="false" ht="15.75" hidden="false" customHeight="true" outlineLevel="0" collapsed="false">
      <c r="A1128" s="19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</row>
    <row r="1129" customFormat="false" ht="15.75" hidden="false" customHeight="true" outlineLevel="0" collapsed="false">
      <c r="A1129" s="19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</row>
    <row r="1130" customFormat="false" ht="15.75" hidden="false" customHeight="true" outlineLevel="0" collapsed="false">
      <c r="A1130" s="19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</row>
    <row r="1131" customFormat="false" ht="15.75" hidden="false" customHeight="true" outlineLevel="0" collapsed="false">
      <c r="A1131" s="19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</row>
    <row r="1132" customFormat="false" ht="15.75" hidden="false" customHeight="true" outlineLevel="0" collapsed="false">
      <c r="A1132" s="19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</row>
    <row r="1133" customFormat="false" ht="15.75" hidden="false" customHeight="true" outlineLevel="0" collapsed="false">
      <c r="A1133" s="19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</row>
    <row r="1134" customFormat="false" ht="15.75" hidden="false" customHeight="true" outlineLevel="0" collapsed="false">
      <c r="A1134" s="19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</row>
    <row r="1135" customFormat="false" ht="15.75" hidden="false" customHeight="true" outlineLevel="0" collapsed="false">
      <c r="A1135" s="19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</row>
    <row r="1136" customFormat="false" ht="15.75" hidden="false" customHeight="true" outlineLevel="0" collapsed="false">
      <c r="A1136" s="19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</row>
    <row r="1137" customFormat="false" ht="15.75" hidden="false" customHeight="true" outlineLevel="0" collapsed="false">
      <c r="A1137" s="19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</row>
    <row r="1138" customFormat="false" ht="15.75" hidden="false" customHeight="true" outlineLevel="0" collapsed="false">
      <c r="A1138" s="19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</row>
    <row r="1139" customFormat="false" ht="15.75" hidden="false" customHeight="true" outlineLevel="0" collapsed="false">
      <c r="A1139" s="19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</row>
  </sheetData>
  <mergeCells count="12">
    <mergeCell ref="A2:A22"/>
    <mergeCell ref="A24:A46"/>
    <mergeCell ref="A48:A68"/>
    <mergeCell ref="A71:A90"/>
    <mergeCell ref="A92:A111"/>
    <mergeCell ref="B113:D113"/>
    <mergeCell ref="B114:D114"/>
    <mergeCell ref="B115:D115"/>
    <mergeCell ref="B116:D116"/>
    <mergeCell ref="B117:D117"/>
    <mergeCell ref="B118:D118"/>
    <mergeCell ref="B119:D119"/>
  </mergeCells>
  <conditionalFormatting sqref="E120:E211">
    <cfRule type="cellIs" priority="2" operator="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11</formula>
    </cfRule>
  </conditionalFormatting>
  <conditionalFormatting sqref="B23:Y23 B47:Y47 B70:Y70 B91:Y91 B112:Y112">
    <cfRule type="colorScale" priority="4">
      <colorScale>
        <cfvo type="formula" val="0"/>
        <cfvo type="formula" val="24"/>
        <color rgb="FF5A8AC6"/>
        <color rgb="FFF8696B"/>
      </colorScale>
    </cfRule>
  </conditionalFormatting>
  <conditionalFormatting sqref="I120:M211">
    <cfRule type="cellIs" priority="5" operator="equal" aboveAverage="0" equalAverage="0" bottom="0" percent="0" rank="0" text="" dxfId="2">
      <formula>0</formula>
    </cfRule>
  </conditionalFormatting>
  <conditionalFormatting sqref="B2:Y111">
    <cfRule type="expression" priority="6" aboveAverage="0" equalAverage="0" bottom="0" percent="0" rank="0" text="" dxfId="3">
      <formula>COUNTIFS($Q$119:$Q$204, B2, $R$119:$R$204, "NSM") &gt; 0</formula>
    </cfRule>
    <cfRule type="expression" priority="7" aboveAverage="0" equalAverage="0" bottom="0" percent="0" rank="0" text="" dxfId="4">
      <formula>COUNTIFS($Q$119:$Q$204, B2, $R$119:$R$204, "A") &gt; 0</formula>
    </cfRule>
    <cfRule type="expression" priority="8" aboveAverage="0" equalAverage="0" bottom="0" percent="0" rank="0" text="" dxfId="5">
      <formula>COUNTIFS($Q$119:$Q$204, B2, $R$119:$R$204, "TI") &gt; 0</formula>
    </cfRule>
    <cfRule type="expression" priority="9" aboveAverage="0" equalAverage="0" bottom="0" percent="0" rank="0" text="" dxfId="6">
      <formula>COUNTIFS($Q$119:$Q$204, B2, $R$119:$R$204, "SE") &gt; 0</formula>
    </cfRule>
    <cfRule type="expression" priority="10" aboveAverage="0" equalAverage="0" bottom="0" percent="0" rank="0" text="" dxfId="7">
      <formula>COUNTIFS($Q$119:$Q$204, B2, $R$119:$R$204, "TH") &gt; 0</formula>
    </cfRule>
    <cfRule type="expression" priority="11" aboveAverage="0" equalAverage="0" bottom="0" percent="0" rank="0" text="" dxfId="8">
      <formula>COUNTIFS($Q$119:$Q$204, B2, $R$119:$R$204, "PT") &gt; 0</formula>
    </cfRule>
    <cfRule type="expression" priority="12" aboveAverage="0" equalAverage="0" bottom="0" percent="0" rank="0" text="" dxfId="9">
      <formula>COUNTIFS($Q$119:$Q$204, B2, $R$119:$R$204, "OB") &gt; 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0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R53" activePane="bottomRight" state="frozen"/>
      <selection pane="topLeft" activeCell="A1" activeCellId="0" sqref="A1"/>
      <selection pane="topRight" activeCell="R1" activeCellId="0" sqref="R1"/>
      <selection pane="bottomLeft" activeCell="A53" activeCellId="0" sqref="A53"/>
      <selection pane="bottomRight" activeCell="Z69" activeCellId="0" sqref="Z69"/>
    </sheetView>
  </sheetViews>
  <sheetFormatPr defaultColWidth="11.1640625" defaultRowHeight="15" customHeight="true" zeroHeight="false" outlineLevelRow="1" outlineLevelCol="0"/>
  <cols>
    <col collapsed="false" customWidth="true" hidden="false" outlineLevel="0" max="25" min="1" style="0" width="12.33"/>
  </cols>
  <sheetData>
    <row r="1" customFormat="false" ht="64.5" hidden="false" customHeight="true" outlineLevel="0" collapsed="false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customFormat="false" ht="15.75" hidden="false" customHeight="true" outlineLevel="0" collapsed="false">
      <c r="A2" s="5" t="s">
        <v>24</v>
      </c>
      <c r="B2" s="6" t="s">
        <v>93</v>
      </c>
      <c r="C2" s="6" t="s">
        <v>93</v>
      </c>
      <c r="D2" s="6" t="s">
        <v>93</v>
      </c>
      <c r="E2" s="6"/>
      <c r="F2" s="7"/>
      <c r="G2" s="7"/>
      <c r="H2" s="6" t="s">
        <v>94</v>
      </c>
      <c r="I2" s="6" t="s">
        <v>94</v>
      </c>
      <c r="J2" s="6" t="s">
        <v>94</v>
      </c>
      <c r="K2" s="6" t="s">
        <v>94</v>
      </c>
      <c r="L2" s="6" t="s">
        <v>94</v>
      </c>
      <c r="M2" s="6" t="s">
        <v>94</v>
      </c>
      <c r="N2" s="6" t="s">
        <v>94</v>
      </c>
      <c r="O2" s="6" t="s">
        <v>94</v>
      </c>
      <c r="P2" s="6"/>
      <c r="Q2" s="6" t="s">
        <v>95</v>
      </c>
      <c r="R2" s="6" t="s">
        <v>95</v>
      </c>
      <c r="S2" s="6" t="s">
        <v>95</v>
      </c>
      <c r="T2" s="6" t="s">
        <v>95</v>
      </c>
      <c r="U2" s="6" t="s">
        <v>95</v>
      </c>
      <c r="V2" s="6" t="s">
        <v>95</v>
      </c>
      <c r="W2" s="6"/>
      <c r="X2" s="6"/>
      <c r="Y2" s="6"/>
    </row>
    <row r="3" customFormat="false" ht="15.75" hidden="false" customHeight="true" outlineLevel="0" collapsed="false">
      <c r="A3" s="5"/>
      <c r="B3" s="6" t="s">
        <v>96</v>
      </c>
      <c r="C3" s="6" t="s">
        <v>96</v>
      </c>
      <c r="D3" s="6" t="s">
        <v>96</v>
      </c>
      <c r="E3" s="6"/>
      <c r="F3" s="8" t="s">
        <v>29</v>
      </c>
      <c r="G3" s="7"/>
      <c r="H3" s="6" t="s">
        <v>96</v>
      </c>
      <c r="I3" s="6" t="s">
        <v>96</v>
      </c>
      <c r="J3" s="6" t="s">
        <v>96</v>
      </c>
      <c r="K3" s="6" t="s">
        <v>96</v>
      </c>
      <c r="L3" s="6" t="s">
        <v>96</v>
      </c>
      <c r="M3" s="6" t="s">
        <v>96</v>
      </c>
      <c r="N3" s="6" t="s">
        <v>96</v>
      </c>
      <c r="O3" s="6" t="s">
        <v>96</v>
      </c>
      <c r="P3" s="6" t="s">
        <v>97</v>
      </c>
      <c r="Q3" s="6" t="s">
        <v>97</v>
      </c>
      <c r="R3" s="6" t="s">
        <v>97</v>
      </c>
      <c r="S3" s="6" t="s">
        <v>97</v>
      </c>
      <c r="T3" s="6" t="s">
        <v>97</v>
      </c>
      <c r="U3" s="6" t="s">
        <v>97</v>
      </c>
      <c r="V3" s="6"/>
      <c r="W3" s="6"/>
      <c r="X3" s="6"/>
      <c r="Y3" s="6"/>
    </row>
    <row r="4" customFormat="false" ht="15.75" hidden="false" customHeight="true" outlineLevel="0" collapsed="false">
      <c r="A4" s="5"/>
      <c r="B4" s="6"/>
      <c r="C4" s="6"/>
      <c r="D4" s="6"/>
      <c r="E4" s="6"/>
      <c r="F4" s="7"/>
      <c r="G4" s="7"/>
      <c r="H4" s="6"/>
      <c r="I4" s="6"/>
      <c r="J4" s="6"/>
      <c r="K4" s="6"/>
      <c r="L4" s="6"/>
      <c r="M4" s="6"/>
      <c r="N4" s="6" t="s">
        <v>98</v>
      </c>
      <c r="O4" s="6" t="s">
        <v>98</v>
      </c>
      <c r="P4" s="6" t="s">
        <v>98</v>
      </c>
      <c r="Q4" s="6" t="s">
        <v>98</v>
      </c>
      <c r="R4" s="6" t="s">
        <v>98</v>
      </c>
      <c r="S4" s="6" t="s">
        <v>98</v>
      </c>
      <c r="T4" s="6"/>
      <c r="U4" s="6"/>
      <c r="V4" s="6" t="s">
        <v>99</v>
      </c>
      <c r="W4" s="6" t="s">
        <v>99</v>
      </c>
      <c r="X4" s="6" t="s">
        <v>99</v>
      </c>
      <c r="Y4" s="6" t="s">
        <v>99</v>
      </c>
    </row>
    <row r="5" customFormat="false" ht="15.75" hidden="false" customHeight="true" outlineLevel="0" collapsed="false">
      <c r="A5" s="5"/>
      <c r="B5" s="6"/>
      <c r="C5" s="6"/>
      <c r="D5" s="6"/>
      <c r="E5" s="6"/>
      <c r="F5" s="7"/>
      <c r="G5" s="7"/>
      <c r="H5" s="6" t="s">
        <v>100</v>
      </c>
      <c r="I5" s="6" t="s">
        <v>100</v>
      </c>
      <c r="J5" s="6" t="s">
        <v>100</v>
      </c>
      <c r="K5" s="6" t="s">
        <v>100</v>
      </c>
      <c r="L5" s="6" t="s">
        <v>100</v>
      </c>
      <c r="M5" s="6" t="s">
        <v>100</v>
      </c>
      <c r="N5" s="6" t="s">
        <v>101</v>
      </c>
      <c r="O5" s="6"/>
      <c r="P5" s="6" t="s">
        <v>102</v>
      </c>
      <c r="Q5" s="6" t="s">
        <v>102</v>
      </c>
      <c r="R5" s="6" t="s">
        <v>102</v>
      </c>
      <c r="S5" s="6" t="s">
        <v>102</v>
      </c>
      <c r="T5" s="6" t="s">
        <v>103</v>
      </c>
      <c r="U5" s="6" t="s">
        <v>103</v>
      </c>
      <c r="V5" s="6" t="s">
        <v>103</v>
      </c>
      <c r="W5" s="6" t="s">
        <v>103</v>
      </c>
      <c r="X5" s="6"/>
      <c r="Y5" s="6"/>
    </row>
    <row r="6" customFormat="false" ht="15.75" hidden="false" customHeight="true" outlineLevel="0" collapsed="false">
      <c r="A6" s="5"/>
      <c r="B6" s="6" t="s">
        <v>99</v>
      </c>
      <c r="C6" s="6" t="s">
        <v>99</v>
      </c>
      <c r="D6" s="6" t="s">
        <v>99</v>
      </c>
      <c r="E6" s="6"/>
      <c r="F6" s="7"/>
      <c r="G6" s="7"/>
      <c r="H6" s="6"/>
      <c r="I6" s="6"/>
      <c r="J6" s="6" t="s">
        <v>104</v>
      </c>
      <c r="K6" s="6" t="s">
        <v>104</v>
      </c>
      <c r="L6" s="6" t="s">
        <v>104</v>
      </c>
      <c r="M6" s="6" t="s">
        <v>104</v>
      </c>
      <c r="N6" s="6" t="s">
        <v>104</v>
      </c>
      <c r="O6" s="6"/>
      <c r="P6" s="6" t="s">
        <v>105</v>
      </c>
      <c r="Q6" s="6" t="s">
        <v>105</v>
      </c>
      <c r="R6" s="6" t="s">
        <v>105</v>
      </c>
      <c r="S6" s="6" t="s">
        <v>105</v>
      </c>
      <c r="T6" s="6" t="s">
        <v>105</v>
      </c>
      <c r="U6" s="6" t="s">
        <v>105</v>
      </c>
      <c r="V6" s="6"/>
      <c r="W6" s="6"/>
      <c r="X6" s="6"/>
      <c r="Y6" s="6"/>
    </row>
    <row r="7" customFormat="false" ht="15.75" hidden="false" customHeight="true" outlineLevel="0" collapsed="false">
      <c r="A7" s="5"/>
      <c r="B7" s="6" t="s">
        <v>106</v>
      </c>
      <c r="C7" s="6" t="s">
        <v>106</v>
      </c>
      <c r="D7" s="6" t="s">
        <v>106</v>
      </c>
      <c r="E7" s="6"/>
      <c r="F7" s="7"/>
      <c r="G7" s="7"/>
      <c r="H7" s="6"/>
      <c r="I7" s="6"/>
      <c r="J7" s="6" t="s">
        <v>107</v>
      </c>
      <c r="K7" s="6" t="s">
        <v>107</v>
      </c>
      <c r="L7" s="6" t="s">
        <v>107</v>
      </c>
      <c r="M7" s="6" t="s">
        <v>107</v>
      </c>
      <c r="N7" s="6"/>
      <c r="O7" s="6"/>
      <c r="P7" s="6" t="s">
        <v>108</v>
      </c>
      <c r="Q7" s="6" t="s">
        <v>108</v>
      </c>
      <c r="R7" s="6" t="s">
        <v>108</v>
      </c>
      <c r="S7" s="6" t="s">
        <v>108</v>
      </c>
      <c r="T7" s="6" t="s">
        <v>108</v>
      </c>
      <c r="U7" s="6" t="s">
        <v>108</v>
      </c>
      <c r="V7" s="6" t="s">
        <v>108</v>
      </c>
      <c r="W7" s="6" t="s">
        <v>108</v>
      </c>
      <c r="X7" s="6"/>
      <c r="Y7" s="6"/>
    </row>
    <row r="8" customFormat="false" ht="15.75" hidden="false" customHeight="true" outlineLevel="0" collapsed="false">
      <c r="A8" s="5"/>
      <c r="B8" s="6" t="s">
        <v>109</v>
      </c>
      <c r="C8" s="6" t="s">
        <v>109</v>
      </c>
      <c r="D8" s="6" t="s">
        <v>109</v>
      </c>
      <c r="E8" s="6" t="s">
        <v>109</v>
      </c>
      <c r="F8" s="7"/>
      <c r="G8" s="7"/>
      <c r="H8" s="6"/>
      <c r="I8" s="6"/>
      <c r="J8" s="6" t="s">
        <v>110</v>
      </c>
      <c r="K8" s="6" t="s">
        <v>110</v>
      </c>
      <c r="L8" s="6" t="s">
        <v>110</v>
      </c>
      <c r="M8" s="6" t="s">
        <v>110</v>
      </c>
      <c r="N8" s="6" t="s">
        <v>110</v>
      </c>
      <c r="O8" s="6" t="s">
        <v>110</v>
      </c>
      <c r="P8" s="6" t="s">
        <v>110</v>
      </c>
      <c r="Q8" s="6" t="s">
        <v>110</v>
      </c>
      <c r="R8" s="6" t="s">
        <v>111</v>
      </c>
      <c r="S8" s="6" t="s">
        <v>111</v>
      </c>
      <c r="T8" s="6" t="s">
        <v>111</v>
      </c>
      <c r="U8" s="6" t="s">
        <v>111</v>
      </c>
      <c r="V8" s="6" t="s">
        <v>111</v>
      </c>
      <c r="W8" s="6"/>
      <c r="X8" s="6"/>
      <c r="Y8" s="6"/>
    </row>
    <row r="9" customFormat="false" ht="17.9" hidden="false" customHeight="false" outlineLevel="0" collapsed="false">
      <c r="A9" s="5"/>
      <c r="B9" s="6"/>
      <c r="C9" s="6"/>
      <c r="D9" s="6"/>
      <c r="E9" s="6"/>
      <c r="F9" s="7"/>
      <c r="G9" s="7"/>
      <c r="H9" s="6"/>
      <c r="I9" s="6"/>
      <c r="J9" s="6" t="s">
        <v>112</v>
      </c>
      <c r="K9" s="6" t="s">
        <v>112</v>
      </c>
      <c r="L9" s="6" t="s">
        <v>112</v>
      </c>
      <c r="M9" s="6" t="s">
        <v>112</v>
      </c>
      <c r="N9" s="6" t="s">
        <v>112</v>
      </c>
      <c r="O9" s="6" t="s">
        <v>112</v>
      </c>
      <c r="P9" s="6" t="s">
        <v>112</v>
      </c>
      <c r="Q9" s="6" t="s">
        <v>112</v>
      </c>
      <c r="R9" s="6"/>
      <c r="S9" s="6"/>
      <c r="T9" s="6"/>
      <c r="U9" s="6"/>
      <c r="V9" s="6"/>
      <c r="W9" s="6"/>
      <c r="X9" s="6"/>
      <c r="Y9" s="6"/>
    </row>
    <row r="10" customFormat="false" ht="17.9" hidden="false" customHeight="false" outlineLevel="0" collapsed="false">
      <c r="A10" s="5"/>
      <c r="B10" s="6"/>
      <c r="C10" s="6"/>
      <c r="D10" s="6"/>
      <c r="E10" s="6"/>
      <c r="F10" s="7"/>
      <c r="G10" s="7"/>
      <c r="H10" s="6"/>
      <c r="I10" s="6"/>
      <c r="J10" s="6"/>
      <c r="K10" s="6" t="s">
        <v>113</v>
      </c>
      <c r="L10" s="6" t="s">
        <v>113</v>
      </c>
      <c r="M10" s="6" t="s">
        <v>113</v>
      </c>
      <c r="N10" s="6" t="s">
        <v>113</v>
      </c>
      <c r="O10" s="6" t="s">
        <v>113</v>
      </c>
      <c r="P10" s="6" t="s">
        <v>113</v>
      </c>
      <c r="Q10" s="6" t="s">
        <v>113</v>
      </c>
      <c r="R10" s="6" t="s">
        <v>113</v>
      </c>
      <c r="S10" s="6" t="s">
        <v>113</v>
      </c>
      <c r="T10" s="6" t="s">
        <v>113</v>
      </c>
      <c r="U10" s="6"/>
      <c r="V10" s="6"/>
      <c r="W10" s="6"/>
      <c r="X10" s="6"/>
      <c r="Y10" s="6"/>
    </row>
    <row r="11" customFormat="false" ht="17.9" hidden="false" customHeight="false" outlineLevel="0" collapsed="false">
      <c r="A11" s="5"/>
      <c r="B11" s="6"/>
      <c r="C11" s="6"/>
      <c r="D11" s="6"/>
      <c r="E11" s="6"/>
      <c r="F11" s="7"/>
      <c r="G11" s="7"/>
      <c r="H11" s="6"/>
      <c r="I11" s="6" t="s">
        <v>114</v>
      </c>
      <c r="J11" s="6" t="s">
        <v>114</v>
      </c>
      <c r="K11" s="6" t="s">
        <v>114</v>
      </c>
      <c r="L11" s="6" t="s">
        <v>114</v>
      </c>
      <c r="M11" s="6" t="s">
        <v>114</v>
      </c>
      <c r="N11" s="6" t="s">
        <v>114</v>
      </c>
      <c r="O11" s="6" t="s">
        <v>114</v>
      </c>
      <c r="P11" s="6" t="s">
        <v>114</v>
      </c>
      <c r="Q11" s="6" t="s">
        <v>115</v>
      </c>
      <c r="R11" s="6" t="s">
        <v>115</v>
      </c>
      <c r="S11" s="6" t="s">
        <v>115</v>
      </c>
      <c r="T11" s="6" t="s">
        <v>115</v>
      </c>
      <c r="U11" s="6"/>
      <c r="V11" s="6"/>
      <c r="W11" s="6"/>
      <c r="X11" s="6"/>
      <c r="Y11" s="6"/>
    </row>
    <row r="12" customFormat="false" ht="17.9" hidden="false" customHeight="false" outlineLevel="0" collapsed="false">
      <c r="A12" s="5"/>
      <c r="B12" s="6"/>
      <c r="C12" s="6"/>
      <c r="D12" s="6"/>
      <c r="E12" s="6"/>
      <c r="F12" s="7"/>
      <c r="G12" s="7"/>
      <c r="H12" s="6" t="s">
        <v>116</v>
      </c>
      <c r="I12" s="6" t="s">
        <v>116</v>
      </c>
      <c r="J12" s="6" t="s">
        <v>116</v>
      </c>
      <c r="K12" s="6" t="s">
        <v>116</v>
      </c>
      <c r="L12" s="6" t="s">
        <v>116</v>
      </c>
      <c r="M12" s="6" t="s">
        <v>116</v>
      </c>
      <c r="N12" s="6" t="s">
        <v>116</v>
      </c>
      <c r="O12" s="6" t="s">
        <v>116</v>
      </c>
      <c r="P12" s="6"/>
      <c r="Q12" s="6"/>
      <c r="R12" s="6"/>
      <c r="S12" s="6"/>
      <c r="T12" s="6"/>
      <c r="U12" s="6"/>
      <c r="V12" s="6"/>
      <c r="W12" s="6"/>
      <c r="X12" s="6"/>
      <c r="Y12" s="6"/>
    </row>
    <row r="13" customFormat="false" ht="17.9" hidden="false" customHeight="false" outlineLevel="0" collapsed="false">
      <c r="A13" s="5"/>
      <c r="B13" s="6"/>
      <c r="C13" s="6"/>
      <c r="D13" s="6"/>
      <c r="E13" s="6"/>
      <c r="F13" s="7"/>
      <c r="G13" s="7"/>
      <c r="H13" s="6" t="s">
        <v>117</v>
      </c>
      <c r="I13" s="6" t="s">
        <v>117</v>
      </c>
      <c r="J13" s="6" t="s">
        <v>117</v>
      </c>
      <c r="K13" s="6" t="s">
        <v>117</v>
      </c>
      <c r="L13" s="6" t="s">
        <v>117</v>
      </c>
      <c r="M13" s="6" t="s">
        <v>117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customFormat="false" ht="17.9" hidden="false" customHeight="false" outlineLevel="0" collapsed="false">
      <c r="A14" s="5"/>
      <c r="B14" s="6"/>
      <c r="C14" s="6"/>
      <c r="D14" s="6"/>
      <c r="E14" s="6"/>
      <c r="F14" s="7"/>
      <c r="G14" s="7"/>
      <c r="H14" s="6"/>
      <c r="I14" s="6"/>
      <c r="J14" s="6"/>
      <c r="K14" s="6"/>
      <c r="L14" s="6" t="s">
        <v>118</v>
      </c>
      <c r="M14" s="6" t="s">
        <v>118</v>
      </c>
      <c r="N14" s="6" t="s">
        <v>118</v>
      </c>
      <c r="O14" s="6" t="s">
        <v>118</v>
      </c>
      <c r="P14" s="6"/>
      <c r="Q14" s="6"/>
      <c r="R14" s="6"/>
      <c r="S14" s="6"/>
      <c r="T14" s="6"/>
      <c r="U14" s="6"/>
      <c r="V14" s="6"/>
      <c r="W14" s="6"/>
      <c r="X14" s="6"/>
      <c r="Y14" s="6"/>
    </row>
    <row r="15" customFormat="false" ht="17.9" hidden="false" customHeight="false" outlineLevel="0" collapsed="false">
      <c r="A15" s="5"/>
      <c r="B15" s="6"/>
      <c r="C15" s="6"/>
      <c r="D15" s="6"/>
      <c r="E15" s="6"/>
      <c r="F15" s="7"/>
      <c r="G15" s="7"/>
      <c r="H15" s="6" t="s">
        <v>119</v>
      </c>
      <c r="I15" s="6" t="s">
        <v>119</v>
      </c>
      <c r="J15" s="6" t="s">
        <v>119</v>
      </c>
      <c r="K15" s="6" t="s">
        <v>119</v>
      </c>
      <c r="L15" s="6" t="s">
        <v>119</v>
      </c>
      <c r="M15" s="6" t="s">
        <v>119</v>
      </c>
      <c r="N15" s="6" t="s">
        <v>119</v>
      </c>
      <c r="O15" s="6" t="s">
        <v>119</v>
      </c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17.9" hidden="false" customHeight="false" outlineLevel="0" collapsed="false">
      <c r="A16" s="5"/>
      <c r="B16" s="6"/>
      <c r="C16" s="6"/>
      <c r="D16" s="6"/>
      <c r="E16" s="6"/>
      <c r="F16" s="7"/>
      <c r="G16" s="7"/>
      <c r="H16" s="6" t="s">
        <v>120</v>
      </c>
      <c r="I16" s="6" t="s">
        <v>120</v>
      </c>
      <c r="J16" s="6" t="s">
        <v>120</v>
      </c>
      <c r="K16" s="6" t="s">
        <v>120</v>
      </c>
      <c r="L16" s="6" t="s">
        <v>120</v>
      </c>
      <c r="M16" s="6" t="s">
        <v>120</v>
      </c>
      <c r="N16" s="6" t="s">
        <v>120</v>
      </c>
      <c r="O16" s="6" t="s">
        <v>120</v>
      </c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17.9" hidden="false" customHeight="false" outlineLevel="0" collapsed="false">
      <c r="A17" s="5"/>
      <c r="B17" s="6"/>
      <c r="C17" s="6"/>
      <c r="D17" s="6"/>
      <c r="E17" s="6"/>
      <c r="F17" s="7"/>
      <c r="G17" s="7"/>
      <c r="H17" s="6" t="s">
        <v>121</v>
      </c>
      <c r="I17" s="6" t="s">
        <v>121</v>
      </c>
      <c r="J17" s="6" t="s">
        <v>121</v>
      </c>
      <c r="K17" s="6" t="s">
        <v>121</v>
      </c>
      <c r="L17" s="6" t="s">
        <v>121</v>
      </c>
      <c r="M17" s="6" t="s">
        <v>121</v>
      </c>
      <c r="N17" s="6" t="s">
        <v>121</v>
      </c>
      <c r="O17" s="6" t="s">
        <v>121</v>
      </c>
      <c r="P17" s="6"/>
      <c r="Q17" s="6"/>
      <c r="R17" s="6"/>
      <c r="S17" s="6"/>
      <c r="T17" s="6"/>
      <c r="U17" s="6"/>
      <c r="V17" s="6"/>
      <c r="W17" s="6"/>
      <c r="X17" s="6"/>
      <c r="Y17" s="6"/>
    </row>
    <row r="18" customFormat="false" ht="17.9" hidden="false" customHeight="false" outlineLevel="0" collapsed="false">
      <c r="A18" s="5"/>
      <c r="B18" s="6"/>
      <c r="C18" s="6"/>
      <c r="D18" s="6"/>
      <c r="E18" s="6"/>
      <c r="F18" s="7"/>
      <c r="G18" s="7"/>
      <c r="H18" s="6" t="s">
        <v>122</v>
      </c>
      <c r="I18" s="6" t="s">
        <v>122</v>
      </c>
      <c r="J18" s="6" t="s">
        <v>122</v>
      </c>
      <c r="K18" s="6" t="s">
        <v>122</v>
      </c>
      <c r="L18" s="6" t="s">
        <v>122</v>
      </c>
      <c r="M18" s="6" t="s">
        <v>122</v>
      </c>
      <c r="N18" s="6" t="s">
        <v>122</v>
      </c>
      <c r="O18" s="6" t="s">
        <v>122</v>
      </c>
      <c r="P18" s="6" t="s">
        <v>122</v>
      </c>
      <c r="Q18" s="6" t="s">
        <v>122</v>
      </c>
      <c r="R18" s="6" t="s">
        <v>122</v>
      </c>
      <c r="S18" s="6"/>
      <c r="T18" s="6"/>
      <c r="U18" s="6"/>
      <c r="V18" s="6"/>
      <c r="W18" s="6"/>
      <c r="X18" s="6"/>
      <c r="Y18" s="6"/>
    </row>
    <row r="19" customFormat="false" ht="17.9" hidden="false" customHeight="false" outlineLevel="0" collapsed="false">
      <c r="A19" s="5"/>
      <c r="B19" s="6"/>
      <c r="C19" s="6"/>
      <c r="D19" s="6"/>
      <c r="E19" s="6"/>
      <c r="F19" s="7"/>
      <c r="G19" s="7"/>
      <c r="H19" s="6" t="s">
        <v>123</v>
      </c>
      <c r="I19" s="6" t="s">
        <v>123</v>
      </c>
      <c r="J19" s="6" t="s">
        <v>123</v>
      </c>
      <c r="K19" s="6" t="s">
        <v>123</v>
      </c>
      <c r="L19" s="6" t="s">
        <v>123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17.9" hidden="false" customHeight="false" outlineLevel="0" collapsed="false">
      <c r="A20" s="5"/>
      <c r="B20" s="6"/>
      <c r="C20" s="6"/>
      <c r="D20" s="6"/>
      <c r="E20" s="6"/>
      <c r="F20" s="7"/>
      <c r="G20" s="7"/>
      <c r="H20" s="6"/>
      <c r="I20" s="6"/>
      <c r="J20" s="6"/>
      <c r="K20" s="6"/>
      <c r="L20" s="6" t="s">
        <v>124</v>
      </c>
      <c r="M20" s="6" t="s">
        <v>124</v>
      </c>
      <c r="N20" s="6" t="s">
        <v>124</v>
      </c>
      <c r="O20" s="6" t="s">
        <v>124</v>
      </c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17.9" hidden="false" customHeight="false" outlineLevel="0" collapsed="false">
      <c r="A21" s="5"/>
      <c r="B21" s="6"/>
      <c r="C21" s="6"/>
      <c r="D21" s="6"/>
      <c r="E21" s="6" t="s">
        <v>125</v>
      </c>
      <c r="F21" s="6" t="s">
        <v>125</v>
      </c>
      <c r="G21" s="6" t="s">
        <v>125</v>
      </c>
      <c r="H21" s="6" t="s">
        <v>125</v>
      </c>
      <c r="I21" s="6" t="s">
        <v>125</v>
      </c>
      <c r="J21" s="6" t="s">
        <v>125</v>
      </c>
      <c r="K21" s="6" t="s">
        <v>125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17.9" hidden="false" customHeight="false" outlineLevel="0" collapsed="false">
      <c r="A22" s="5"/>
      <c r="B22" s="6"/>
      <c r="C22" s="6"/>
      <c r="D22" s="6"/>
      <c r="E22" s="6"/>
      <c r="F22" s="6"/>
      <c r="G22" s="6"/>
      <c r="H22" s="6" t="s">
        <v>126</v>
      </c>
      <c r="I22" s="6" t="s">
        <v>126</v>
      </c>
      <c r="J22" s="6" t="s">
        <v>126</v>
      </c>
      <c r="K22" s="6" t="s">
        <v>126</v>
      </c>
      <c r="L22" s="6" t="s">
        <v>126</v>
      </c>
      <c r="M22" s="6" t="s">
        <v>126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19.7" hidden="false" customHeight="false" outlineLevel="0" collapsed="false">
      <c r="A23" s="9"/>
      <c r="B23" s="10" t="n">
        <f aca="false">COUNTA(B2:B22)</f>
        <v>5</v>
      </c>
      <c r="C23" s="10" t="n">
        <f aca="false">COUNTA(C2:C22)</f>
        <v>5</v>
      </c>
      <c r="D23" s="10" t="n">
        <f aca="false">COUNTA(D2:D22)</f>
        <v>5</v>
      </c>
      <c r="E23" s="10" t="n">
        <f aca="false">COUNTA(E2:E22)</f>
        <v>2</v>
      </c>
      <c r="F23" s="10" t="n">
        <f aca="false">COUNTA(F2:F22)</f>
        <v>2</v>
      </c>
      <c r="G23" s="10" t="n">
        <f aca="false">COUNTA(G2:G22)</f>
        <v>1</v>
      </c>
      <c r="H23" s="10" t="n">
        <f aca="false">COUNTA(H2:H22)</f>
        <v>12</v>
      </c>
      <c r="I23" s="10" t="n">
        <f aca="false">COUNTA(I2:I22)</f>
        <v>13</v>
      </c>
      <c r="J23" s="10" t="n">
        <f aca="false">COUNTA(J2:J22)</f>
        <v>17</v>
      </c>
      <c r="K23" s="10" t="n">
        <f aca="false">COUNTA(K2:K22)</f>
        <v>18</v>
      </c>
      <c r="L23" s="10" t="n">
        <f aca="false">COUNTA(L2:L21)</f>
        <v>18</v>
      </c>
      <c r="M23" s="10" t="n">
        <f aca="false">COUNTA(M2:M21)</f>
        <v>17</v>
      </c>
      <c r="N23" s="10" t="n">
        <f aca="false">COUNTA(N2:N22)</f>
        <v>16</v>
      </c>
      <c r="O23" s="10" t="n">
        <f aca="false">COUNTA(O2:O22)</f>
        <v>14</v>
      </c>
      <c r="P23" s="10" t="n">
        <f aca="false">COUNTA(P2:P22)</f>
        <v>10</v>
      </c>
      <c r="Q23" s="10" t="n">
        <f aca="false">COUNTA(Q2:Q22)</f>
        <v>11</v>
      </c>
      <c r="R23" s="10" t="n">
        <f aca="false">COUNTA(R2:R22)</f>
        <v>10</v>
      </c>
      <c r="S23" s="10" t="n">
        <f aca="false">COUNTA(S2:S22)</f>
        <v>9</v>
      </c>
      <c r="T23" s="10" t="n">
        <f aca="false">COUNTA(T2:T22)</f>
        <v>8</v>
      </c>
      <c r="U23" s="10" t="n">
        <f aca="false">COUNTA(U2:U22)</f>
        <v>6</v>
      </c>
      <c r="V23" s="10" t="n">
        <f aca="false">COUNTA(V2:V22)</f>
        <v>5</v>
      </c>
      <c r="W23" s="10" t="n">
        <f aca="false">COUNTA(W2:W22)</f>
        <v>3</v>
      </c>
      <c r="X23" s="10" t="n">
        <f aca="false">COUNTA(X2:X22)</f>
        <v>1</v>
      </c>
      <c r="Y23" s="10" t="n">
        <f aca="false">COUNTA(Y2:Y22)</f>
        <v>1</v>
      </c>
    </row>
    <row r="24" customFormat="false" ht="15.75" hidden="false" customHeight="true" outlineLevel="0" collapsed="false">
      <c r="A24" s="11" t="s">
        <v>66</v>
      </c>
      <c r="B24" s="6" t="s">
        <v>93</v>
      </c>
      <c r="C24" s="6" t="s">
        <v>93</v>
      </c>
      <c r="D24" s="6" t="s">
        <v>93</v>
      </c>
      <c r="E24" s="6" t="s">
        <v>93</v>
      </c>
      <c r="F24" s="6" t="s">
        <v>93</v>
      </c>
      <c r="G24" s="6" t="s">
        <v>93</v>
      </c>
      <c r="H24" s="6" t="s">
        <v>93</v>
      </c>
      <c r="I24" s="6" t="s">
        <v>93</v>
      </c>
      <c r="J24" s="6" t="s">
        <v>127</v>
      </c>
      <c r="K24" s="6" t="s">
        <v>127</v>
      </c>
      <c r="L24" s="6" t="s">
        <v>127</v>
      </c>
      <c r="M24" s="6" t="s">
        <v>127</v>
      </c>
      <c r="N24" s="6" t="s">
        <v>127</v>
      </c>
      <c r="O24" s="6" t="s">
        <v>127</v>
      </c>
      <c r="P24" s="6" t="s">
        <v>127</v>
      </c>
      <c r="Q24" s="6" t="s">
        <v>127</v>
      </c>
      <c r="R24" s="6" t="s">
        <v>128</v>
      </c>
      <c r="S24" s="6" t="s">
        <v>128</v>
      </c>
      <c r="T24" s="6" t="s">
        <v>128</v>
      </c>
      <c r="U24" s="6" t="s">
        <v>128</v>
      </c>
      <c r="V24" s="6" t="s">
        <v>128</v>
      </c>
      <c r="W24" s="6" t="s">
        <v>128</v>
      </c>
      <c r="X24" s="6" t="s">
        <v>128</v>
      </c>
      <c r="Y24" s="6" t="s">
        <v>128</v>
      </c>
    </row>
    <row r="25" customFormat="false" ht="17.9" hidden="false" customHeight="false" outlineLevel="0" collapsed="false">
      <c r="A25" s="11"/>
      <c r="B25" s="6" t="s">
        <v>116</v>
      </c>
      <c r="C25" s="6" t="s">
        <v>116</v>
      </c>
      <c r="D25" s="6" t="s">
        <v>116</v>
      </c>
      <c r="E25" s="6"/>
      <c r="F25" s="6"/>
      <c r="G25" s="6"/>
      <c r="H25" s="6"/>
      <c r="I25" s="6"/>
      <c r="J25" s="6"/>
      <c r="K25" s="6"/>
      <c r="L25" s="6" t="s">
        <v>104</v>
      </c>
      <c r="M25" s="6" t="s">
        <v>104</v>
      </c>
      <c r="N25" s="6" t="s">
        <v>104</v>
      </c>
      <c r="O25" s="6" t="s">
        <v>104</v>
      </c>
      <c r="P25" s="6" t="s">
        <v>104</v>
      </c>
      <c r="Q25" s="6" t="s">
        <v>104</v>
      </c>
      <c r="R25" s="6"/>
      <c r="S25" s="6"/>
      <c r="T25" s="6" t="s">
        <v>129</v>
      </c>
      <c r="U25" s="6" t="s">
        <v>129</v>
      </c>
      <c r="V25" s="6" t="s">
        <v>129</v>
      </c>
      <c r="W25" s="6" t="s">
        <v>129</v>
      </c>
      <c r="X25" s="6"/>
      <c r="Y25" s="6"/>
    </row>
    <row r="26" customFormat="false" ht="17.9" hidden="false" customHeight="false" outlineLevel="0" collapsed="false">
      <c r="A26" s="11"/>
      <c r="B26" s="6" t="s">
        <v>130</v>
      </c>
      <c r="C26" s="6" t="s">
        <v>130</v>
      </c>
      <c r="D26" s="6" t="s">
        <v>130</v>
      </c>
      <c r="E26" s="6" t="s">
        <v>130</v>
      </c>
      <c r="F26" s="6" t="s">
        <v>130</v>
      </c>
      <c r="G26" s="6"/>
      <c r="H26" s="6" t="s">
        <v>94</v>
      </c>
      <c r="I26" s="6" t="s">
        <v>94</v>
      </c>
      <c r="J26" s="6" t="s">
        <v>94</v>
      </c>
      <c r="K26" s="6" t="s">
        <v>111</v>
      </c>
      <c r="L26" s="6" t="s">
        <v>111</v>
      </c>
      <c r="M26" s="6" t="s">
        <v>111</v>
      </c>
      <c r="N26" s="6" t="s">
        <v>111</v>
      </c>
      <c r="O26" s="6" t="s">
        <v>111</v>
      </c>
      <c r="P26" s="6" t="s">
        <v>111</v>
      </c>
      <c r="Q26" s="6" t="s">
        <v>95</v>
      </c>
      <c r="R26" s="6" t="s">
        <v>95</v>
      </c>
      <c r="S26" s="6" t="s">
        <v>95</v>
      </c>
      <c r="T26" s="6" t="s">
        <v>95</v>
      </c>
      <c r="U26" s="6" t="s">
        <v>95</v>
      </c>
      <c r="V26" s="6" t="s">
        <v>95</v>
      </c>
      <c r="W26" s="6"/>
      <c r="X26" s="6"/>
      <c r="Y26" s="6"/>
    </row>
    <row r="27" customFormat="false" ht="17.9" hidden="false" customHeight="false" outlineLevel="0" collapsed="false">
      <c r="A27" s="11"/>
      <c r="B27" s="6" t="s">
        <v>131</v>
      </c>
      <c r="C27" s="6" t="s">
        <v>131</v>
      </c>
      <c r="D27" s="6" t="s">
        <v>131</v>
      </c>
      <c r="E27" s="6" t="s">
        <v>131</v>
      </c>
      <c r="F27" s="6" t="s">
        <v>131</v>
      </c>
      <c r="G27" s="6" t="s">
        <v>131</v>
      </c>
      <c r="H27" s="6" t="s">
        <v>131</v>
      </c>
      <c r="I27" s="6" t="s">
        <v>131</v>
      </c>
      <c r="J27" s="6" t="s">
        <v>131</v>
      </c>
      <c r="K27" s="6" t="s">
        <v>131</v>
      </c>
      <c r="L27" s="6" t="s">
        <v>131</v>
      </c>
      <c r="M27" s="6"/>
      <c r="N27" s="6"/>
      <c r="O27" s="6"/>
      <c r="P27" s="6"/>
      <c r="Q27" s="6" t="s">
        <v>110</v>
      </c>
      <c r="R27" s="6" t="s">
        <v>110</v>
      </c>
      <c r="S27" s="6" t="s">
        <v>110</v>
      </c>
      <c r="T27" s="6"/>
      <c r="U27" s="6"/>
      <c r="V27" s="6" t="s">
        <v>123</v>
      </c>
      <c r="W27" s="6" t="s">
        <v>123</v>
      </c>
      <c r="X27" s="6" t="s">
        <v>123</v>
      </c>
      <c r="Y27" s="6" t="s">
        <v>123</v>
      </c>
    </row>
    <row r="28" customFormat="false" ht="17.9" hidden="false" customHeight="false" outlineLevel="0" collapsed="false">
      <c r="A28" s="11"/>
      <c r="B28" s="6" t="s">
        <v>99</v>
      </c>
      <c r="C28" s="6" t="s">
        <v>99</v>
      </c>
      <c r="D28" s="6" t="s">
        <v>99</v>
      </c>
      <c r="E28" s="6" t="s">
        <v>99</v>
      </c>
      <c r="F28" s="6" t="s">
        <v>98</v>
      </c>
      <c r="G28" s="6" t="s">
        <v>98</v>
      </c>
      <c r="H28" s="6" t="s">
        <v>98</v>
      </c>
      <c r="I28" s="6" t="s">
        <v>98</v>
      </c>
      <c r="J28" s="6" t="s">
        <v>98</v>
      </c>
      <c r="K28" s="6" t="s">
        <v>98</v>
      </c>
      <c r="L28" s="6"/>
      <c r="M28" s="6"/>
      <c r="N28" s="6"/>
      <c r="O28" s="6"/>
      <c r="P28" s="6" t="s">
        <v>108</v>
      </c>
      <c r="Q28" s="6" t="s">
        <v>108</v>
      </c>
      <c r="R28" s="6" t="s">
        <v>108</v>
      </c>
      <c r="S28" s="6" t="s">
        <v>108</v>
      </c>
      <c r="T28" s="6" t="s">
        <v>108</v>
      </c>
      <c r="U28" s="6" t="s">
        <v>108</v>
      </c>
      <c r="V28" s="6" t="s">
        <v>124</v>
      </c>
      <c r="W28" s="6" t="s">
        <v>124</v>
      </c>
      <c r="X28" s="6" t="s">
        <v>124</v>
      </c>
      <c r="Y28" s="6" t="s">
        <v>124</v>
      </c>
    </row>
    <row r="29" customFormat="false" ht="17.9" hidden="false" customHeight="false" outlineLevel="0" collapsed="false">
      <c r="A29" s="11"/>
      <c r="B29" s="6"/>
      <c r="C29" s="6"/>
      <c r="D29" s="6"/>
      <c r="E29" s="6"/>
      <c r="F29" s="6" t="s">
        <v>100</v>
      </c>
      <c r="G29" s="6" t="s">
        <v>100</v>
      </c>
      <c r="H29" s="6" t="s">
        <v>100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 t="s">
        <v>100</v>
      </c>
      <c r="T29" s="6" t="s">
        <v>100</v>
      </c>
      <c r="U29" s="6" t="s">
        <v>100</v>
      </c>
      <c r="V29" s="6"/>
      <c r="W29" s="6"/>
      <c r="X29" s="6"/>
      <c r="Y29" s="6"/>
    </row>
    <row r="30" customFormat="false" ht="17.9" hidden="false" customHeight="false" outlineLevel="0" collapsed="false">
      <c r="A30" s="11"/>
      <c r="B30" s="6"/>
      <c r="C30" s="6"/>
      <c r="D30" s="6"/>
      <c r="E30" s="6"/>
      <c r="F30" s="6" t="s">
        <v>107</v>
      </c>
      <c r="G30" s="6" t="s">
        <v>107</v>
      </c>
      <c r="H30" s="6" t="s">
        <v>107</v>
      </c>
      <c r="I30" s="6" t="s">
        <v>107</v>
      </c>
      <c r="J30" s="6" t="s">
        <v>107</v>
      </c>
      <c r="K30" s="6" t="s">
        <v>107</v>
      </c>
      <c r="L30" s="6" t="s">
        <v>107</v>
      </c>
      <c r="M30" s="6" t="s">
        <v>107</v>
      </c>
      <c r="N30" s="6" t="s">
        <v>107</v>
      </c>
      <c r="O30" s="6" t="s">
        <v>113</v>
      </c>
      <c r="P30" s="6" t="s">
        <v>113</v>
      </c>
      <c r="Q30" s="6" t="s">
        <v>113</v>
      </c>
      <c r="R30" s="6" t="s">
        <v>113</v>
      </c>
      <c r="S30" s="6" t="s">
        <v>113</v>
      </c>
      <c r="T30" s="6" t="s">
        <v>113</v>
      </c>
      <c r="U30" s="6"/>
      <c r="V30" s="6"/>
      <c r="W30" s="6"/>
      <c r="X30" s="6"/>
      <c r="Y30" s="6"/>
    </row>
    <row r="31" customFormat="false" ht="17.9" hidden="false" customHeight="false" outlineLevel="0" collapsed="false">
      <c r="A31" s="11"/>
      <c r="B31" s="6"/>
      <c r="C31" s="6"/>
      <c r="D31" s="6"/>
      <c r="E31" s="6"/>
      <c r="F31" s="6" t="s">
        <v>102</v>
      </c>
      <c r="G31" s="6" t="s">
        <v>102</v>
      </c>
      <c r="H31" s="6" t="s">
        <v>102</v>
      </c>
      <c r="I31" s="6" t="s">
        <v>102</v>
      </c>
      <c r="J31" s="6" t="s">
        <v>102</v>
      </c>
      <c r="K31" s="6" t="s">
        <v>102</v>
      </c>
      <c r="L31" s="6"/>
      <c r="M31" s="6"/>
      <c r="N31" s="6" t="s">
        <v>97</v>
      </c>
      <c r="O31" s="6" t="s">
        <v>97</v>
      </c>
      <c r="P31" s="6" t="s">
        <v>97</v>
      </c>
      <c r="Q31" s="6" t="s">
        <v>97</v>
      </c>
      <c r="R31" s="6" t="s">
        <v>97</v>
      </c>
      <c r="S31" s="6" t="s">
        <v>97</v>
      </c>
      <c r="T31" s="6"/>
      <c r="U31" s="6"/>
      <c r="V31" s="6"/>
      <c r="W31" s="6"/>
      <c r="X31" s="6"/>
      <c r="Y31" s="6"/>
    </row>
    <row r="32" customFormat="false" ht="17.9" hidden="false" customHeight="false" outlineLevel="0" collapsed="false">
      <c r="A32" s="11"/>
      <c r="B32" s="6"/>
      <c r="C32" s="6"/>
      <c r="D32" s="6"/>
      <c r="E32" s="6"/>
      <c r="F32" s="6"/>
      <c r="G32" s="6"/>
      <c r="H32" s="6" t="s">
        <v>103</v>
      </c>
      <c r="I32" s="6" t="s">
        <v>103</v>
      </c>
      <c r="J32" s="6" t="s">
        <v>103</v>
      </c>
      <c r="K32" s="6" t="s">
        <v>103</v>
      </c>
      <c r="L32" s="6" t="s">
        <v>103</v>
      </c>
      <c r="M32" s="6" t="s">
        <v>103</v>
      </c>
      <c r="N32" s="6" t="s">
        <v>103</v>
      </c>
      <c r="O32" s="6" t="s">
        <v>103</v>
      </c>
      <c r="P32" s="6"/>
      <c r="Q32" s="6"/>
      <c r="R32" s="6"/>
      <c r="S32" s="6"/>
      <c r="T32" s="6"/>
      <c r="U32" s="6"/>
      <c r="V32" s="6"/>
      <c r="W32" s="6"/>
      <c r="X32" s="6"/>
      <c r="Y32" s="6"/>
    </row>
    <row r="33" customFormat="false" ht="17.9" hidden="false" customHeight="false" outlineLevel="0" collapsed="false">
      <c r="A33" s="11"/>
      <c r="B33" s="6"/>
      <c r="C33" s="6"/>
      <c r="D33" s="6"/>
      <c r="E33" s="6"/>
      <c r="F33" s="6"/>
      <c r="G33" s="6"/>
      <c r="H33" s="6" t="s">
        <v>117</v>
      </c>
      <c r="I33" s="6" t="s">
        <v>117</v>
      </c>
      <c r="J33" s="6" t="s">
        <v>117</v>
      </c>
      <c r="K33" s="6" t="s">
        <v>117</v>
      </c>
      <c r="L33" s="6" t="s">
        <v>117</v>
      </c>
      <c r="M33" s="6" t="s">
        <v>117</v>
      </c>
      <c r="N33" s="6" t="s">
        <v>132</v>
      </c>
      <c r="O33" s="6" t="s">
        <v>132</v>
      </c>
      <c r="P33" s="6" t="s">
        <v>132</v>
      </c>
      <c r="Q33" s="6" t="s">
        <v>132</v>
      </c>
      <c r="R33" s="6" t="s">
        <v>132</v>
      </c>
      <c r="S33" s="6" t="s">
        <v>132</v>
      </c>
      <c r="T33" s="6" t="s">
        <v>132</v>
      </c>
      <c r="U33" s="6" t="s">
        <v>132</v>
      </c>
      <c r="V33" s="6" t="s">
        <v>132</v>
      </c>
      <c r="W33" s="6" t="s">
        <v>132</v>
      </c>
      <c r="X33" s="6" t="s">
        <v>132</v>
      </c>
      <c r="Y33" s="6" t="s">
        <v>132</v>
      </c>
    </row>
    <row r="34" customFormat="false" ht="17.9" hidden="false" customHeight="false" outlineLevel="0" collapsed="false">
      <c r="A34" s="11"/>
      <c r="B34" s="6"/>
      <c r="C34" s="6"/>
      <c r="D34" s="6"/>
      <c r="E34" s="6"/>
      <c r="F34" s="6" t="s">
        <v>109</v>
      </c>
      <c r="G34" s="6" t="s">
        <v>109</v>
      </c>
      <c r="H34" s="6" t="s">
        <v>109</v>
      </c>
      <c r="I34" s="6" t="s">
        <v>109</v>
      </c>
      <c r="J34" s="6" t="s">
        <v>109</v>
      </c>
      <c r="K34" s="6"/>
      <c r="L34" s="6" t="s">
        <v>118</v>
      </c>
      <c r="M34" s="6" t="s">
        <v>118</v>
      </c>
      <c r="N34" s="6" t="s">
        <v>118</v>
      </c>
      <c r="O34" s="6" t="s">
        <v>118</v>
      </c>
      <c r="P34" s="6" t="s">
        <v>105</v>
      </c>
      <c r="Q34" s="6" t="s">
        <v>105</v>
      </c>
      <c r="R34" s="6" t="s">
        <v>105</v>
      </c>
      <c r="S34" s="6" t="s">
        <v>105</v>
      </c>
      <c r="T34" s="6" t="s">
        <v>105</v>
      </c>
      <c r="U34" s="6" t="s">
        <v>105</v>
      </c>
      <c r="V34" s="6"/>
      <c r="W34" s="6"/>
      <c r="X34" s="6"/>
      <c r="Y34" s="6"/>
    </row>
    <row r="35" customFormat="false" ht="17.9" hidden="false" customHeight="false" outlineLevel="0" collapsed="false">
      <c r="A35" s="11"/>
      <c r="B35" s="6"/>
      <c r="C35" s="6"/>
      <c r="D35" s="6"/>
      <c r="E35" s="6"/>
      <c r="F35" s="6" t="s">
        <v>119</v>
      </c>
      <c r="G35" s="6" t="s">
        <v>119</v>
      </c>
      <c r="H35" s="6" t="s">
        <v>119</v>
      </c>
      <c r="I35" s="6" t="s">
        <v>119</v>
      </c>
      <c r="J35" s="6" t="s">
        <v>119</v>
      </c>
      <c r="K35" s="6" t="s">
        <v>119</v>
      </c>
      <c r="L35" s="6"/>
      <c r="M35" s="6"/>
      <c r="N35" s="6" t="s">
        <v>115</v>
      </c>
      <c r="O35" s="6" t="s">
        <v>115</v>
      </c>
      <c r="P35" s="6" t="s">
        <v>115</v>
      </c>
      <c r="Q35" s="6" t="s">
        <v>115</v>
      </c>
      <c r="R35" s="6" t="s">
        <v>115</v>
      </c>
      <c r="S35" s="6" t="s">
        <v>115</v>
      </c>
      <c r="T35" s="6" t="s">
        <v>115</v>
      </c>
      <c r="U35" s="6" t="s">
        <v>115</v>
      </c>
      <c r="V35" s="6"/>
      <c r="W35" s="6"/>
      <c r="X35" s="6"/>
      <c r="Y35" s="6"/>
    </row>
    <row r="36" customFormat="false" ht="15.75" hidden="false" customHeight="true" outlineLevel="0" collapsed="false">
      <c r="A36" s="11"/>
      <c r="B36" s="6"/>
      <c r="C36" s="6"/>
      <c r="D36" s="6"/>
      <c r="E36" s="6"/>
      <c r="F36" s="6" t="s">
        <v>133</v>
      </c>
      <c r="G36" s="6" t="s">
        <v>133</v>
      </c>
      <c r="H36" s="6" t="s">
        <v>133</v>
      </c>
      <c r="I36" s="6" t="s">
        <v>133</v>
      </c>
      <c r="J36" s="6" t="s">
        <v>133</v>
      </c>
      <c r="K36" s="6" t="s">
        <v>133</v>
      </c>
      <c r="L36" s="6" t="s">
        <v>133</v>
      </c>
      <c r="M36" s="6" t="s">
        <v>133</v>
      </c>
      <c r="N36" s="6" t="s">
        <v>133</v>
      </c>
      <c r="O36" s="6" t="s">
        <v>133</v>
      </c>
      <c r="P36" s="6" t="s">
        <v>133</v>
      </c>
      <c r="Q36" s="6"/>
      <c r="R36" s="6"/>
      <c r="S36" s="6"/>
      <c r="T36" s="6"/>
      <c r="U36" s="6"/>
      <c r="V36" s="6"/>
      <c r="W36" s="6"/>
      <c r="X36" s="6"/>
      <c r="Y36" s="6"/>
    </row>
    <row r="37" customFormat="false" ht="15.75" hidden="false" customHeight="true" outlineLevel="0" collapsed="false">
      <c r="A37" s="11"/>
      <c r="B37" s="6"/>
      <c r="C37" s="6"/>
      <c r="D37" s="6"/>
      <c r="E37" s="6"/>
      <c r="F37" s="6" t="s">
        <v>134</v>
      </c>
      <c r="G37" s="6" t="s">
        <v>134</v>
      </c>
      <c r="H37" s="6" t="s">
        <v>134</v>
      </c>
      <c r="I37" s="6" t="s">
        <v>134</v>
      </c>
      <c r="J37" s="6" t="s">
        <v>134</v>
      </c>
      <c r="K37" s="6" t="s">
        <v>134</v>
      </c>
      <c r="L37" s="6"/>
      <c r="M37" s="6" t="s">
        <v>126</v>
      </c>
      <c r="N37" s="6" t="s">
        <v>126</v>
      </c>
      <c r="O37" s="6" t="s">
        <v>126</v>
      </c>
      <c r="P37" s="6" t="s">
        <v>126</v>
      </c>
      <c r="Q37" s="6"/>
      <c r="R37" s="6"/>
      <c r="S37" s="6"/>
      <c r="T37" s="6"/>
      <c r="U37" s="6"/>
      <c r="V37" s="6"/>
      <c r="W37" s="6"/>
      <c r="X37" s="6"/>
      <c r="Y37" s="6"/>
    </row>
    <row r="38" customFormat="false" ht="15.75" hidden="false" customHeight="true" outlineLevel="0" collapsed="false">
      <c r="A38" s="11"/>
      <c r="B38" s="6"/>
      <c r="C38" s="6"/>
      <c r="D38" s="6"/>
      <c r="E38" s="6" t="s">
        <v>135</v>
      </c>
      <c r="F38" s="6" t="s">
        <v>135</v>
      </c>
      <c r="G38" s="6" t="s">
        <v>135</v>
      </c>
      <c r="H38" s="6" t="s">
        <v>135</v>
      </c>
      <c r="I38" s="6" t="s">
        <v>135</v>
      </c>
      <c r="J38" s="6" t="s">
        <v>135</v>
      </c>
      <c r="K38" s="6" t="s">
        <v>135</v>
      </c>
      <c r="L38" s="6" t="s">
        <v>135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15.75" hidden="false" customHeight="true" outlineLevel="0" collapsed="false">
      <c r="A39" s="11"/>
      <c r="B39" s="6"/>
      <c r="C39" s="6"/>
      <c r="D39" s="6"/>
      <c r="E39" s="6"/>
      <c r="F39" s="6"/>
      <c r="G39" s="6"/>
      <c r="H39" s="6"/>
      <c r="I39" s="6"/>
      <c r="J39" s="6"/>
      <c r="K39" s="6" t="s">
        <v>136</v>
      </c>
      <c r="L39" s="6" t="s">
        <v>136</v>
      </c>
      <c r="M39" s="6" t="s">
        <v>136</v>
      </c>
      <c r="N39" s="6" t="s">
        <v>136</v>
      </c>
      <c r="O39" s="6"/>
      <c r="P39" s="6"/>
      <c r="Q39" s="6"/>
      <c r="R39" s="6"/>
      <c r="S39" s="6" t="s">
        <v>136</v>
      </c>
      <c r="T39" s="6" t="s">
        <v>136</v>
      </c>
      <c r="U39" s="6" t="s">
        <v>136</v>
      </c>
      <c r="V39" s="6"/>
      <c r="W39" s="6"/>
      <c r="X39" s="6"/>
      <c r="Y39" s="6"/>
    </row>
    <row r="40" customFormat="false" ht="15.75" hidden="false" customHeight="true" outlineLevel="0" collapsed="false">
      <c r="A40" s="1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5.75" hidden="false" customHeight="true" outlineLevel="0" collapsed="false">
      <c r="A41" s="1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5.75" hidden="false" customHeight="true" outlineLevel="0" collapsed="false">
      <c r="A42" s="1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5.75" hidden="false" customHeight="true" outlineLevel="0" collapsed="false">
      <c r="A43" s="1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customFormat="false" ht="15.75" hidden="false" customHeight="true" outlineLevel="0" collapsed="false">
      <c r="A44" s="1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5.75" hidden="false" customHeight="true" outlineLevel="0" collapsed="false">
      <c r="A45" s="1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5" hidden="false" customHeight="false" outlineLevel="0" collapsed="false">
      <c r="A46" s="1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3.5" hidden="false" customHeight="true" outlineLevel="0" collapsed="false">
      <c r="A47" s="12"/>
      <c r="B47" s="6" t="n">
        <f aca="false">COUNTA((B24:B46))</f>
        <v>5</v>
      </c>
      <c r="C47" s="6" t="n">
        <f aca="false">COUNTA((C24:C46))</f>
        <v>5</v>
      </c>
      <c r="D47" s="6" t="n">
        <f aca="false">COUNTA((D24:D46))</f>
        <v>5</v>
      </c>
      <c r="E47" s="6" t="n">
        <f aca="false">COUNTA((E24:E46))</f>
        <v>5</v>
      </c>
      <c r="F47" s="6" t="n">
        <f aca="false">COUNTA((F24:F46))</f>
        <v>12</v>
      </c>
      <c r="G47" s="6" t="n">
        <f aca="false">COUNTA((G24:G46))</f>
        <v>11</v>
      </c>
      <c r="H47" s="6" t="n">
        <f aca="false">COUNTA((H24:H46))</f>
        <v>14</v>
      </c>
      <c r="I47" s="6" t="n">
        <f aca="false">COUNTA((I24:I45))</f>
        <v>13</v>
      </c>
      <c r="J47" s="6" t="n">
        <f aca="false">COUNTA((J24:J45))</f>
        <v>13</v>
      </c>
      <c r="K47" s="6" t="n">
        <f aca="false">COUNTA((K24:K45))</f>
        <v>13</v>
      </c>
      <c r="L47" s="6" t="n">
        <f aca="false">COUNTA((L24:L45))</f>
        <v>11</v>
      </c>
      <c r="M47" s="6" t="n">
        <f aca="false">COUNTA((M24:M46))</f>
        <v>10</v>
      </c>
      <c r="N47" s="6" t="n">
        <f aca="false">COUNTA((N24:N46))</f>
        <v>12</v>
      </c>
      <c r="O47" s="6" t="n">
        <f aca="false">COUNTA((O24:O46))</f>
        <v>11</v>
      </c>
      <c r="P47" s="6" t="n">
        <f aca="false">COUNTA((P24:P46))</f>
        <v>11</v>
      </c>
      <c r="Q47" s="6" t="n">
        <f aca="false">COUNTA((Q24:Q46))</f>
        <v>10</v>
      </c>
      <c r="R47" s="6" t="n">
        <f aca="false">COUNTA((R24:R46))</f>
        <v>9</v>
      </c>
      <c r="S47" s="6" t="n">
        <f aca="false">COUNTA((S24:S46))</f>
        <v>11</v>
      </c>
      <c r="T47" s="6" t="n">
        <f aca="false">COUNTA((T24:T46))</f>
        <v>10</v>
      </c>
      <c r="U47" s="6" t="n">
        <f aca="false">COUNTA((U24:U46))</f>
        <v>9</v>
      </c>
      <c r="V47" s="6" t="n">
        <f aca="false">COUNTA((V24:V46))</f>
        <v>6</v>
      </c>
      <c r="W47" s="6" t="n">
        <f aca="false">COUNTA((W24:W46))</f>
        <v>5</v>
      </c>
      <c r="X47" s="6" t="n">
        <f aca="false">COUNTA((X24:X46))</f>
        <v>4</v>
      </c>
      <c r="Y47" s="6" t="n">
        <f aca="false">COUNTA((Y24:Y46))</f>
        <v>4</v>
      </c>
    </row>
    <row r="48" customFormat="false" ht="15.75" hidden="false" customHeight="true" outlineLevel="0" collapsed="false">
      <c r="A48" s="5" t="s">
        <v>73</v>
      </c>
      <c r="B48" s="6" t="s">
        <v>93</v>
      </c>
      <c r="C48" s="6" t="s">
        <v>93</v>
      </c>
      <c r="D48" s="6" t="s">
        <v>93</v>
      </c>
      <c r="E48" s="6"/>
      <c r="F48" s="7"/>
      <c r="G48" s="7"/>
      <c r="H48" s="6" t="s">
        <v>94</v>
      </c>
      <c r="I48" s="6" t="s">
        <v>94</v>
      </c>
      <c r="J48" s="6" t="s">
        <v>94</v>
      </c>
      <c r="K48" s="6" t="s">
        <v>94</v>
      </c>
      <c r="L48" s="6" t="s">
        <v>94</v>
      </c>
      <c r="M48" s="6" t="s">
        <v>94</v>
      </c>
      <c r="N48" s="6" t="s">
        <v>94</v>
      </c>
      <c r="O48" s="6" t="s">
        <v>94</v>
      </c>
      <c r="P48" s="6"/>
      <c r="Q48" s="6"/>
      <c r="R48" s="6"/>
      <c r="S48" s="6" t="s">
        <v>95</v>
      </c>
      <c r="T48" s="6" t="s">
        <v>95</v>
      </c>
      <c r="U48" s="6" t="s">
        <v>95</v>
      </c>
      <c r="V48" s="6" t="s">
        <v>95</v>
      </c>
      <c r="W48" s="6"/>
      <c r="X48" s="6"/>
      <c r="Y48" s="6"/>
    </row>
    <row r="49" customFormat="false" ht="15.75" hidden="false" customHeight="true" outlineLevel="0" collapsed="false">
      <c r="A49" s="5"/>
      <c r="B49" s="6" t="s">
        <v>96</v>
      </c>
      <c r="C49" s="6" t="s">
        <v>96</v>
      </c>
      <c r="D49" s="6" t="s">
        <v>96</v>
      </c>
      <c r="E49" s="6"/>
      <c r="F49" s="8" t="s">
        <v>29</v>
      </c>
      <c r="G49" s="7"/>
      <c r="H49" s="6" t="s">
        <v>96</v>
      </c>
      <c r="I49" s="6" t="s">
        <v>96</v>
      </c>
      <c r="J49" s="6" t="s">
        <v>96</v>
      </c>
      <c r="K49" s="6" t="s">
        <v>96</v>
      </c>
      <c r="L49" s="6" t="s">
        <v>96</v>
      </c>
      <c r="M49" s="6" t="s">
        <v>96</v>
      </c>
      <c r="N49" s="6" t="s">
        <v>96</v>
      </c>
      <c r="O49" s="6" t="s">
        <v>96</v>
      </c>
      <c r="P49" s="6" t="s">
        <v>97</v>
      </c>
      <c r="Q49" s="6" t="s">
        <v>97</v>
      </c>
      <c r="R49" s="6" t="s">
        <v>97</v>
      </c>
      <c r="S49" s="6" t="s">
        <v>97</v>
      </c>
      <c r="T49" s="6" t="s">
        <v>97</v>
      </c>
      <c r="U49" s="6" t="s">
        <v>97</v>
      </c>
      <c r="V49" s="6" t="s">
        <v>99</v>
      </c>
      <c r="W49" s="6" t="s">
        <v>99</v>
      </c>
      <c r="X49" s="6" t="s">
        <v>99</v>
      </c>
      <c r="Y49" s="6" t="s">
        <v>99</v>
      </c>
    </row>
    <row r="50" customFormat="false" ht="15.75" hidden="false" customHeight="true" outlineLevel="0" collapsed="false">
      <c r="A50" s="5"/>
      <c r="B50" s="6"/>
      <c r="C50" s="6"/>
      <c r="D50" s="6"/>
      <c r="E50" s="6"/>
      <c r="F50" s="7"/>
      <c r="G50" s="7"/>
      <c r="H50" s="6"/>
      <c r="I50" s="6"/>
      <c r="J50" s="6"/>
      <c r="K50" s="6"/>
      <c r="L50" s="6"/>
      <c r="M50" s="6"/>
      <c r="N50" s="6" t="s">
        <v>98</v>
      </c>
      <c r="O50" s="6" t="s">
        <v>98</v>
      </c>
      <c r="P50" s="6" t="s">
        <v>98</v>
      </c>
      <c r="Q50" s="6" t="s">
        <v>98</v>
      </c>
      <c r="R50" s="6" t="s">
        <v>98</v>
      </c>
      <c r="S50" s="6" t="s">
        <v>98</v>
      </c>
      <c r="T50" s="6" t="s">
        <v>128</v>
      </c>
      <c r="U50" s="6" t="s">
        <v>128</v>
      </c>
      <c r="V50" s="6" t="s">
        <v>128</v>
      </c>
      <c r="W50" s="6" t="s">
        <v>128</v>
      </c>
      <c r="X50" s="6" t="s">
        <v>128</v>
      </c>
      <c r="Y50" s="6" t="s">
        <v>128</v>
      </c>
    </row>
    <row r="51" customFormat="false" ht="15.75" hidden="false" customHeight="true" outlineLevel="0" collapsed="false">
      <c r="A51" s="5"/>
      <c r="B51" s="6" t="s">
        <v>130</v>
      </c>
      <c r="C51" s="6" t="s">
        <v>130</v>
      </c>
      <c r="D51" s="6" t="s">
        <v>130</v>
      </c>
      <c r="E51" s="6"/>
      <c r="F51" s="7"/>
      <c r="G51" s="7"/>
      <c r="H51" s="6" t="s">
        <v>100</v>
      </c>
      <c r="I51" s="6" t="s">
        <v>100</v>
      </c>
      <c r="J51" s="6" t="s">
        <v>100</v>
      </c>
      <c r="K51" s="6" t="s">
        <v>100</v>
      </c>
      <c r="L51" s="6" t="s">
        <v>100</v>
      </c>
      <c r="M51" s="6" t="s">
        <v>100</v>
      </c>
      <c r="N51" s="6" t="s">
        <v>101</v>
      </c>
      <c r="O51" s="6"/>
      <c r="P51" s="6" t="s">
        <v>102</v>
      </c>
      <c r="Q51" s="6" t="s">
        <v>102</v>
      </c>
      <c r="R51" s="6" t="s">
        <v>102</v>
      </c>
      <c r="S51" s="6" t="s">
        <v>102</v>
      </c>
      <c r="T51" s="6"/>
      <c r="U51" s="6"/>
      <c r="V51" s="6"/>
      <c r="W51" s="6"/>
      <c r="X51" s="6"/>
      <c r="Y51" s="6"/>
    </row>
    <row r="52" customFormat="false" ht="15.75" hidden="false" customHeight="true" outlineLevel="0" collapsed="false">
      <c r="A52" s="5"/>
      <c r="B52" s="6" t="s">
        <v>99</v>
      </c>
      <c r="C52" s="6" t="s">
        <v>99</v>
      </c>
      <c r="D52" s="6" t="s">
        <v>99</v>
      </c>
      <c r="E52" s="6"/>
      <c r="F52" s="7"/>
      <c r="G52" s="7"/>
      <c r="H52" s="6"/>
      <c r="I52" s="6"/>
      <c r="J52" s="6" t="s">
        <v>104</v>
      </c>
      <c r="K52" s="6" t="s">
        <v>104</v>
      </c>
      <c r="L52" s="6" t="s">
        <v>104</v>
      </c>
      <c r="M52" s="6" t="s">
        <v>104</v>
      </c>
      <c r="N52" s="6" t="s">
        <v>104</v>
      </c>
      <c r="O52" s="6"/>
      <c r="P52" s="6" t="s">
        <v>105</v>
      </c>
      <c r="Q52" s="6" t="s">
        <v>105</v>
      </c>
      <c r="R52" s="6" t="s">
        <v>105</v>
      </c>
      <c r="S52" s="6" t="s">
        <v>105</v>
      </c>
      <c r="T52" s="6" t="s">
        <v>105</v>
      </c>
      <c r="U52" s="6" t="s">
        <v>105</v>
      </c>
      <c r="V52" s="6"/>
      <c r="W52" s="6"/>
      <c r="X52" s="6"/>
      <c r="Y52" s="6"/>
    </row>
    <row r="53" customFormat="false" ht="15.75" hidden="false" customHeight="true" outlineLevel="0" collapsed="false">
      <c r="A53" s="5"/>
      <c r="B53" s="6" t="s">
        <v>106</v>
      </c>
      <c r="C53" s="6" t="s">
        <v>106</v>
      </c>
      <c r="D53" s="6" t="s">
        <v>106</v>
      </c>
      <c r="E53" s="6"/>
      <c r="F53" s="7"/>
      <c r="G53" s="7"/>
      <c r="H53" s="6"/>
      <c r="I53" s="6"/>
      <c r="J53" s="6" t="s">
        <v>110</v>
      </c>
      <c r="K53" s="6" t="s">
        <v>110</v>
      </c>
      <c r="L53" s="6" t="s">
        <v>110</v>
      </c>
      <c r="M53" s="6" t="s">
        <v>110</v>
      </c>
      <c r="N53" s="6" t="s">
        <v>110</v>
      </c>
      <c r="O53" s="6" t="s">
        <v>110</v>
      </c>
      <c r="P53" s="6" t="s">
        <v>110</v>
      </c>
      <c r="Q53" s="6" t="s">
        <v>110</v>
      </c>
      <c r="R53" s="6" t="s">
        <v>129</v>
      </c>
      <c r="S53" s="6" t="s">
        <v>129</v>
      </c>
      <c r="T53" s="6" t="s">
        <v>129</v>
      </c>
      <c r="U53" s="6" t="s">
        <v>129</v>
      </c>
      <c r="V53" s="6" t="s">
        <v>129</v>
      </c>
      <c r="W53" s="6" t="s">
        <v>129</v>
      </c>
      <c r="X53" s="6"/>
      <c r="Y53" s="6"/>
    </row>
    <row r="54" customFormat="false" ht="15.75" hidden="false" customHeight="true" outlineLevel="0" collapsed="false">
      <c r="A54" s="5"/>
      <c r="B54" s="6" t="s">
        <v>109</v>
      </c>
      <c r="C54" s="6" t="s">
        <v>109</v>
      </c>
      <c r="D54" s="6" t="s">
        <v>109</v>
      </c>
      <c r="E54" s="6" t="s">
        <v>109</v>
      </c>
      <c r="F54" s="7"/>
      <c r="G54" s="7"/>
      <c r="H54" s="6"/>
      <c r="I54" s="6"/>
      <c r="J54" s="6" t="s">
        <v>112</v>
      </c>
      <c r="K54" s="6" t="s">
        <v>112</v>
      </c>
      <c r="L54" s="6" t="s">
        <v>112</v>
      </c>
      <c r="M54" s="6" t="s">
        <v>112</v>
      </c>
      <c r="N54" s="6" t="s">
        <v>112</v>
      </c>
      <c r="O54" s="6" t="s">
        <v>112</v>
      </c>
      <c r="P54" s="6" t="s">
        <v>112</v>
      </c>
      <c r="Q54" s="6" t="s">
        <v>112</v>
      </c>
      <c r="R54" s="6" t="s">
        <v>111</v>
      </c>
      <c r="S54" s="6" t="s">
        <v>111</v>
      </c>
      <c r="T54" s="6" t="s">
        <v>111</v>
      </c>
      <c r="U54" s="6" t="s">
        <v>111</v>
      </c>
      <c r="V54" s="6"/>
      <c r="W54" s="6"/>
      <c r="X54" s="6"/>
      <c r="Y54" s="6"/>
    </row>
    <row r="55" customFormat="false" ht="15.75" hidden="false" customHeight="true" outlineLevel="0" collapsed="false">
      <c r="A55" s="5"/>
      <c r="B55" s="6"/>
      <c r="C55" s="6"/>
      <c r="D55" s="6"/>
      <c r="E55" s="6"/>
      <c r="F55" s="7"/>
      <c r="G55" s="7"/>
      <c r="H55" s="6" t="s">
        <v>117</v>
      </c>
      <c r="I55" s="6" t="s">
        <v>117</v>
      </c>
      <c r="J55" s="6" t="s">
        <v>117</v>
      </c>
      <c r="K55" s="6" t="s">
        <v>117</v>
      </c>
      <c r="L55" s="6" t="s">
        <v>117</v>
      </c>
      <c r="M55" s="6" t="s">
        <v>117</v>
      </c>
      <c r="N55" s="6"/>
      <c r="O55" s="6"/>
      <c r="P55" s="6" t="s">
        <v>108</v>
      </c>
      <c r="Q55" s="6" t="s">
        <v>108</v>
      </c>
      <c r="R55" s="6" t="s">
        <v>108</v>
      </c>
      <c r="S55" s="6" t="s">
        <v>108</v>
      </c>
      <c r="T55" s="6" t="s">
        <v>108</v>
      </c>
      <c r="U55" s="6" t="s">
        <v>108</v>
      </c>
      <c r="V55" s="6" t="s">
        <v>108</v>
      </c>
      <c r="W55" s="6" t="s">
        <v>108</v>
      </c>
      <c r="X55" s="6"/>
      <c r="Y55" s="6"/>
    </row>
    <row r="56" customFormat="false" ht="15.75" hidden="false" customHeight="true" outlineLevel="0" collapsed="false">
      <c r="A56" s="5"/>
      <c r="B56" s="6"/>
      <c r="C56" s="6"/>
      <c r="D56" s="6"/>
      <c r="E56" s="6"/>
      <c r="F56" s="7"/>
      <c r="G56" s="7"/>
      <c r="H56" s="6"/>
      <c r="I56" s="6"/>
      <c r="J56" s="6"/>
      <c r="K56" s="6"/>
      <c r="L56" s="6"/>
      <c r="M56" s="6"/>
      <c r="N56" s="6" t="s">
        <v>127</v>
      </c>
      <c r="O56" s="6" t="s">
        <v>127</v>
      </c>
      <c r="P56" s="6" t="s">
        <v>127</v>
      </c>
      <c r="Q56" s="6" t="s">
        <v>127</v>
      </c>
      <c r="R56" s="6" t="s">
        <v>127</v>
      </c>
      <c r="S56" s="6" t="s">
        <v>127</v>
      </c>
      <c r="T56" s="6" t="s">
        <v>127</v>
      </c>
      <c r="U56" s="6"/>
      <c r="V56" s="6"/>
      <c r="W56" s="6"/>
      <c r="X56" s="6"/>
      <c r="Y56" s="6"/>
    </row>
    <row r="57" customFormat="false" ht="15.75" hidden="false" customHeight="true" outlineLevel="0" collapsed="false">
      <c r="A57" s="5"/>
      <c r="B57" s="6"/>
      <c r="C57" s="6"/>
      <c r="D57" s="6"/>
      <c r="E57" s="6"/>
      <c r="F57" s="7"/>
      <c r="G57" s="7"/>
      <c r="H57" s="6"/>
      <c r="I57" s="6" t="s">
        <v>114</v>
      </c>
      <c r="J57" s="6" t="s">
        <v>114</v>
      </c>
      <c r="K57" s="6" t="s">
        <v>114</v>
      </c>
      <c r="L57" s="6" t="s">
        <v>114</v>
      </c>
      <c r="M57" s="6" t="s">
        <v>114</v>
      </c>
      <c r="N57" s="6" t="s">
        <v>114</v>
      </c>
      <c r="O57" s="6" t="s">
        <v>114</v>
      </c>
      <c r="P57" s="6" t="s">
        <v>114</v>
      </c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5.75" hidden="false" customHeight="true" outlineLevel="0" collapsed="false">
      <c r="A58" s="5"/>
      <c r="B58" s="6"/>
      <c r="C58" s="6"/>
      <c r="D58" s="6"/>
      <c r="E58" s="6"/>
      <c r="F58" s="7"/>
      <c r="G58" s="7"/>
      <c r="H58" s="6"/>
      <c r="I58" s="6" t="s">
        <v>137</v>
      </c>
      <c r="J58" s="6" t="s">
        <v>137</v>
      </c>
      <c r="K58" s="6" t="s">
        <v>137</v>
      </c>
      <c r="L58" s="6" t="s">
        <v>137</v>
      </c>
      <c r="M58" s="6" t="s">
        <v>137</v>
      </c>
      <c r="N58" s="6" t="s">
        <v>137</v>
      </c>
      <c r="O58" s="6" t="s">
        <v>137</v>
      </c>
      <c r="P58" s="6" t="s">
        <v>137</v>
      </c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5.75" hidden="false" customHeight="true" outlineLevel="0" collapsed="false">
      <c r="A59" s="5"/>
      <c r="B59" s="6"/>
      <c r="C59" s="6"/>
      <c r="D59" s="6"/>
      <c r="E59" s="6"/>
      <c r="F59" s="7"/>
      <c r="G59" s="7"/>
      <c r="H59" s="6" t="s">
        <v>116</v>
      </c>
      <c r="I59" s="6" t="s">
        <v>116</v>
      </c>
      <c r="J59" s="6" t="s">
        <v>116</v>
      </c>
      <c r="K59" s="6" t="s">
        <v>116</v>
      </c>
      <c r="L59" s="6" t="s">
        <v>116</v>
      </c>
      <c r="M59" s="6" t="s">
        <v>116</v>
      </c>
      <c r="N59" s="6" t="s">
        <v>116</v>
      </c>
      <c r="O59" s="6" t="s">
        <v>116</v>
      </c>
      <c r="P59" s="6" t="s">
        <v>130</v>
      </c>
      <c r="Q59" s="6" t="s">
        <v>130</v>
      </c>
      <c r="R59" s="6" t="s">
        <v>130</v>
      </c>
      <c r="S59" s="6" t="s">
        <v>130</v>
      </c>
      <c r="T59" s="6" t="s">
        <v>130</v>
      </c>
      <c r="U59" s="6" t="s">
        <v>130</v>
      </c>
      <c r="V59" s="6"/>
      <c r="W59" s="6"/>
      <c r="X59" s="6"/>
      <c r="Y59" s="6"/>
    </row>
    <row r="60" customFormat="false" ht="15.75" hidden="false" customHeight="true" outlineLevel="0" collapsed="false">
      <c r="A60" s="5"/>
      <c r="B60" s="6"/>
      <c r="C60" s="6"/>
      <c r="D60" s="6"/>
      <c r="E60" s="6"/>
      <c r="F60" s="7"/>
      <c r="G60" s="7"/>
      <c r="H60" s="6"/>
      <c r="I60" s="6"/>
      <c r="J60" s="6"/>
      <c r="K60" s="6"/>
      <c r="L60" s="6" t="s">
        <v>118</v>
      </c>
      <c r="M60" s="6" t="s">
        <v>118</v>
      </c>
      <c r="N60" s="6" t="s">
        <v>118</v>
      </c>
      <c r="O60" s="6" t="s">
        <v>118</v>
      </c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5.75" hidden="false" customHeight="true" outlineLevel="0" collapsed="false">
      <c r="A61" s="5"/>
      <c r="B61" s="6"/>
      <c r="C61" s="6"/>
      <c r="D61" s="6"/>
      <c r="E61" s="6"/>
      <c r="F61" s="7"/>
      <c r="G61" s="7"/>
      <c r="H61" s="6" t="s">
        <v>119</v>
      </c>
      <c r="I61" s="6" t="s">
        <v>119</v>
      </c>
      <c r="J61" s="6" t="s">
        <v>119</v>
      </c>
      <c r="K61" s="6" t="s">
        <v>119</v>
      </c>
      <c r="L61" s="6" t="s">
        <v>119</v>
      </c>
      <c r="M61" s="6" t="s">
        <v>119</v>
      </c>
      <c r="N61" s="6" t="s">
        <v>119</v>
      </c>
      <c r="O61" s="6" t="s">
        <v>119</v>
      </c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5.75" hidden="false" customHeight="true" outlineLevel="0" collapsed="false">
      <c r="A62" s="5"/>
      <c r="B62" s="6"/>
      <c r="C62" s="6"/>
      <c r="D62" s="6"/>
      <c r="E62" s="6"/>
      <c r="F62" s="7"/>
      <c r="G62" s="7"/>
      <c r="H62" s="6" t="s">
        <v>120</v>
      </c>
      <c r="I62" s="6" t="s">
        <v>120</v>
      </c>
      <c r="J62" s="6" t="s">
        <v>120</v>
      </c>
      <c r="K62" s="6" t="s">
        <v>120</v>
      </c>
      <c r="L62" s="6" t="s">
        <v>120</v>
      </c>
      <c r="M62" s="6" t="s">
        <v>120</v>
      </c>
      <c r="N62" s="6" t="s">
        <v>120</v>
      </c>
      <c r="O62" s="6" t="s">
        <v>120</v>
      </c>
      <c r="P62" s="6"/>
      <c r="Q62" s="6"/>
      <c r="R62" s="6"/>
      <c r="S62" s="6"/>
      <c r="T62" s="6"/>
      <c r="U62" s="6"/>
      <c r="V62" s="6"/>
      <c r="W62" s="6"/>
      <c r="X62" s="6"/>
      <c r="Y62" s="6"/>
    </row>
    <row r="63" customFormat="false" ht="15.75" hidden="false" customHeight="true" outlineLevel="0" collapsed="false">
      <c r="A63" s="5"/>
      <c r="B63" s="6"/>
      <c r="C63" s="6"/>
      <c r="D63" s="6"/>
      <c r="E63" s="6"/>
      <c r="F63" s="7"/>
      <c r="G63" s="7"/>
      <c r="H63" s="6" t="s">
        <v>121</v>
      </c>
      <c r="I63" s="6" t="s">
        <v>121</v>
      </c>
      <c r="J63" s="6" t="s">
        <v>121</v>
      </c>
      <c r="K63" s="6" t="s">
        <v>121</v>
      </c>
      <c r="L63" s="6" t="s">
        <v>121</v>
      </c>
      <c r="M63" s="6" t="s">
        <v>121</v>
      </c>
      <c r="N63" s="6" t="s">
        <v>121</v>
      </c>
      <c r="O63" s="6" t="s">
        <v>121</v>
      </c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5.75" hidden="false" customHeight="true" outlineLevel="0" collapsed="false">
      <c r="A64" s="5"/>
      <c r="B64" s="6"/>
      <c r="C64" s="6"/>
      <c r="D64" s="6"/>
      <c r="E64" s="6"/>
      <c r="F64" s="7"/>
      <c r="G64" s="7"/>
      <c r="H64" s="6" t="s">
        <v>122</v>
      </c>
      <c r="I64" s="6" t="s">
        <v>122</v>
      </c>
      <c r="J64" s="6" t="s">
        <v>122</v>
      </c>
      <c r="K64" s="6" t="s">
        <v>122</v>
      </c>
      <c r="L64" s="6" t="s">
        <v>122</v>
      </c>
      <c r="M64" s="6" t="s">
        <v>122</v>
      </c>
      <c r="N64" s="6" t="s">
        <v>122</v>
      </c>
      <c r="O64" s="6" t="s">
        <v>122</v>
      </c>
      <c r="P64" s="6" t="s">
        <v>122</v>
      </c>
      <c r="Q64" s="6" t="s">
        <v>122</v>
      </c>
      <c r="R64" s="6" t="s">
        <v>122</v>
      </c>
      <c r="S64" s="6"/>
      <c r="T64" s="6"/>
      <c r="U64" s="6"/>
      <c r="V64" s="6"/>
      <c r="W64" s="6"/>
      <c r="X64" s="6"/>
      <c r="Y64" s="6"/>
    </row>
    <row r="65" customFormat="false" ht="15.75" hidden="false" customHeight="true" outlineLevel="0" collapsed="false">
      <c r="A65" s="5"/>
      <c r="B65" s="6"/>
      <c r="C65" s="6"/>
      <c r="D65" s="6"/>
      <c r="E65" s="6"/>
      <c r="F65" s="7"/>
      <c r="G65" s="7"/>
      <c r="H65" s="6" t="s">
        <v>123</v>
      </c>
      <c r="I65" s="6" t="s">
        <v>123</v>
      </c>
      <c r="J65" s="6" t="s">
        <v>123</v>
      </c>
      <c r="K65" s="6" t="s">
        <v>123</v>
      </c>
      <c r="L65" s="6" t="s">
        <v>123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5.75" hidden="false" customHeight="true" outlineLevel="0" collapsed="false">
      <c r="A66" s="5"/>
      <c r="B66" s="6"/>
      <c r="C66" s="6"/>
      <c r="D66" s="6"/>
      <c r="E66" s="6"/>
      <c r="F66" s="7"/>
      <c r="G66" s="7"/>
      <c r="H66" s="6"/>
      <c r="I66" s="6"/>
      <c r="J66" s="6"/>
      <c r="K66" s="6"/>
      <c r="L66" s="6" t="s">
        <v>124</v>
      </c>
      <c r="M66" s="6" t="s">
        <v>124</v>
      </c>
      <c r="N66" s="6" t="s">
        <v>124</v>
      </c>
      <c r="O66" s="6" t="s">
        <v>124</v>
      </c>
      <c r="P66" s="6" t="s">
        <v>124</v>
      </c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5.75" hidden="false" customHeight="true" outlineLevel="0" collapsed="false">
      <c r="A67" s="5"/>
      <c r="B67" s="6"/>
      <c r="C67" s="6"/>
      <c r="D67" s="6"/>
      <c r="E67" s="6" t="s">
        <v>125</v>
      </c>
      <c r="F67" s="6" t="s">
        <v>125</v>
      </c>
      <c r="G67" s="6" t="s">
        <v>125</v>
      </c>
      <c r="H67" s="6" t="s">
        <v>125</v>
      </c>
      <c r="I67" s="6" t="s">
        <v>125</v>
      </c>
      <c r="J67" s="6" t="s">
        <v>125</v>
      </c>
      <c r="K67" s="6" t="s">
        <v>125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5.75" hidden="false" customHeight="true" outlineLevel="0" collapsed="false">
      <c r="A68" s="5"/>
      <c r="B68" s="6"/>
      <c r="C68" s="6"/>
      <c r="D68" s="6"/>
      <c r="E68" s="6"/>
      <c r="F68" s="6"/>
      <c r="G68" s="6"/>
      <c r="H68" s="6" t="s">
        <v>126</v>
      </c>
      <c r="I68" s="6" t="s">
        <v>126</v>
      </c>
      <c r="J68" s="6" t="s">
        <v>126</v>
      </c>
      <c r="K68" s="6" t="s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8" hidden="false" customHeight="true" outlineLevel="0" collapsed="false">
      <c r="A69" s="12"/>
      <c r="B69" s="6" t="n">
        <f aca="false">COUNTA(B48:B68)</f>
        <v>6</v>
      </c>
      <c r="C69" s="6" t="n">
        <f aca="false">COUNTA(C48:C68)</f>
        <v>6</v>
      </c>
      <c r="D69" s="6" t="n">
        <f aca="false">COUNTA(D48:D68)</f>
        <v>6</v>
      </c>
      <c r="E69" s="6" t="n">
        <f aca="false">COUNTA(E48:E68)</f>
        <v>2</v>
      </c>
      <c r="F69" s="6" t="n">
        <f aca="false">COUNTA(F48:F68)</f>
        <v>2</v>
      </c>
      <c r="G69" s="6" t="n">
        <f aca="false">COUNTA(G48:G68)</f>
        <v>1</v>
      </c>
      <c r="H69" s="6" t="n">
        <f aca="false">COUNTA(H48:H68)</f>
        <v>12</v>
      </c>
      <c r="I69" s="6" t="n">
        <f aca="false">COUNTA(I48:I68)</f>
        <v>14</v>
      </c>
      <c r="J69" s="6" t="n">
        <f aca="false">COUNTA(J48:J68)</f>
        <v>17</v>
      </c>
      <c r="K69" s="6" t="n">
        <f aca="false">COUNTA(K48:K68)</f>
        <v>17</v>
      </c>
      <c r="L69" s="6" t="n">
        <f aca="false">COUNTA(L48:L68)</f>
        <v>17</v>
      </c>
      <c r="M69" s="6" t="n">
        <f aca="false">COUNTA(M48:M68)</f>
        <v>16</v>
      </c>
      <c r="N69" s="6" t="n">
        <f aca="false">COUNTA(N48:N68)</f>
        <v>17</v>
      </c>
      <c r="O69" s="6" t="n">
        <f aca="false">COUNTA(O48:O68)</f>
        <v>15</v>
      </c>
      <c r="P69" s="6" t="n">
        <f aca="false">COUNTA(P48:P68)</f>
        <v>13</v>
      </c>
      <c r="Q69" s="6" t="n">
        <f aca="false">COUNTA(Q48:Q68)</f>
        <v>10</v>
      </c>
      <c r="R69" s="6" t="n">
        <f aca="false">COUNTA(R48:R68)</f>
        <v>10</v>
      </c>
      <c r="S69" s="6" t="n">
        <f aca="false">COUNTA(S48:S68)</f>
        <v>10</v>
      </c>
      <c r="T69" s="6" t="n">
        <f aca="false">COUNTA(T48:T68)</f>
        <v>9</v>
      </c>
      <c r="U69" s="6" t="n">
        <f aca="false">COUNTA(U48:U68)</f>
        <v>8</v>
      </c>
      <c r="V69" s="6" t="n">
        <f aca="false">COUNTA(V48:V68)</f>
        <v>5</v>
      </c>
      <c r="W69" s="6" t="n">
        <f aca="false">COUNTA(W48:W68)</f>
        <v>4</v>
      </c>
      <c r="X69" s="15" t="n">
        <v>1</v>
      </c>
      <c r="Y69" s="15" t="n">
        <v>1</v>
      </c>
    </row>
    <row r="70" customFormat="false" ht="15.75" hidden="false" customHeight="true" outlineLevel="0" collapsed="false">
      <c r="A70" s="11" t="s">
        <v>75</v>
      </c>
      <c r="B70" s="6" t="s">
        <v>93</v>
      </c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127</v>
      </c>
      <c r="K70" s="6" t="s">
        <v>127</v>
      </c>
      <c r="L70" s="6" t="s">
        <v>127</v>
      </c>
      <c r="M70" s="6" t="s">
        <v>127</v>
      </c>
      <c r="N70" s="6" t="s">
        <v>127</v>
      </c>
      <c r="O70" s="6" t="s">
        <v>127</v>
      </c>
      <c r="P70" s="6" t="s">
        <v>127</v>
      </c>
      <c r="Q70" s="6"/>
      <c r="R70" s="6" t="s">
        <v>128</v>
      </c>
      <c r="S70" s="6" t="s">
        <v>128</v>
      </c>
      <c r="T70" s="6" t="s">
        <v>128</v>
      </c>
      <c r="U70" s="6" t="s">
        <v>128</v>
      </c>
      <c r="V70" s="6" t="s">
        <v>128</v>
      </c>
      <c r="W70" s="6" t="s">
        <v>128</v>
      </c>
      <c r="X70" s="6" t="s">
        <v>128</v>
      </c>
      <c r="Y70" s="6" t="s">
        <v>128</v>
      </c>
    </row>
    <row r="71" customFormat="false" ht="15.75" hidden="false" customHeight="true" outlineLevel="0" collapsed="false">
      <c r="A71" s="11"/>
      <c r="B71" s="6"/>
      <c r="C71" s="6"/>
      <c r="D71" s="6"/>
      <c r="E71" s="6"/>
      <c r="F71" s="6"/>
      <c r="G71" s="6"/>
      <c r="H71" s="6" t="s">
        <v>94</v>
      </c>
      <c r="I71" s="6" t="s">
        <v>94</v>
      </c>
      <c r="J71" s="6" t="s">
        <v>94</v>
      </c>
      <c r="K71" s="6"/>
      <c r="L71" s="6" t="s">
        <v>104</v>
      </c>
      <c r="M71" s="6" t="s">
        <v>104</v>
      </c>
      <c r="N71" s="6" t="s">
        <v>104</v>
      </c>
      <c r="O71" s="6" t="s">
        <v>104</v>
      </c>
      <c r="P71" s="6" t="s">
        <v>104</v>
      </c>
      <c r="Q71" s="6" t="s">
        <v>104</v>
      </c>
      <c r="R71" s="6"/>
      <c r="S71" s="6"/>
      <c r="T71" s="6"/>
      <c r="U71" s="6"/>
      <c r="V71" s="6" t="s">
        <v>124</v>
      </c>
      <c r="W71" s="6" t="s">
        <v>124</v>
      </c>
      <c r="X71" s="6" t="s">
        <v>124</v>
      </c>
      <c r="Y71" s="6" t="s">
        <v>124</v>
      </c>
    </row>
    <row r="72" customFormat="false" ht="15.75" hidden="false" customHeight="true" outlineLevel="0" collapsed="false">
      <c r="A72" s="11"/>
      <c r="B72" s="6" t="s">
        <v>130</v>
      </c>
      <c r="C72" s="6" t="s">
        <v>130</v>
      </c>
      <c r="D72" s="6" t="s">
        <v>130</v>
      </c>
      <c r="E72" s="6" t="s">
        <v>130</v>
      </c>
      <c r="F72" s="6" t="s">
        <v>130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 t="s">
        <v>95</v>
      </c>
      <c r="R72" s="6" t="s">
        <v>95</v>
      </c>
      <c r="S72" s="6" t="s">
        <v>95</v>
      </c>
      <c r="T72" s="6" t="s">
        <v>95</v>
      </c>
      <c r="U72" s="6" t="s">
        <v>95</v>
      </c>
      <c r="V72" s="6" t="s">
        <v>95</v>
      </c>
      <c r="W72" s="6"/>
      <c r="X72" s="6"/>
      <c r="Y72" s="6"/>
    </row>
    <row r="73" customFormat="false" ht="15.75" hidden="false" customHeight="true" outlineLevel="0" collapsed="false">
      <c r="A73" s="11"/>
      <c r="B73" s="6" t="s">
        <v>116</v>
      </c>
      <c r="C73" s="6" t="s">
        <v>116</v>
      </c>
      <c r="D73" s="6" t="s">
        <v>116</v>
      </c>
      <c r="E73" s="6"/>
      <c r="F73" s="6" t="s">
        <v>98</v>
      </c>
      <c r="G73" s="6" t="s">
        <v>98</v>
      </c>
      <c r="H73" s="6" t="s">
        <v>98</v>
      </c>
      <c r="I73" s="6" t="s">
        <v>98</v>
      </c>
      <c r="J73" s="6"/>
      <c r="K73" s="6"/>
      <c r="L73" s="6"/>
      <c r="M73" s="6"/>
      <c r="N73" s="6"/>
      <c r="O73" s="6"/>
      <c r="P73" s="6"/>
      <c r="Q73" s="6" t="s">
        <v>110</v>
      </c>
      <c r="R73" s="6" t="s">
        <v>110</v>
      </c>
      <c r="S73" s="6" t="s">
        <v>110</v>
      </c>
      <c r="T73" s="6"/>
      <c r="U73" s="6"/>
      <c r="V73" s="6" t="s">
        <v>123</v>
      </c>
      <c r="W73" s="6" t="s">
        <v>123</v>
      </c>
      <c r="X73" s="6" t="s">
        <v>123</v>
      </c>
      <c r="Y73" s="6" t="s">
        <v>123</v>
      </c>
    </row>
    <row r="74" customFormat="false" ht="15.75" hidden="false" customHeight="true" outlineLevel="0" collapsed="false">
      <c r="A74" s="11"/>
      <c r="B74" s="6"/>
      <c r="C74" s="6"/>
      <c r="D74" s="6"/>
      <c r="E74" s="6"/>
      <c r="F74" s="6" t="s">
        <v>100</v>
      </c>
      <c r="G74" s="6" t="s">
        <v>100</v>
      </c>
      <c r="H74" s="6" t="s">
        <v>100</v>
      </c>
      <c r="I74" s="6" t="s">
        <v>111</v>
      </c>
      <c r="J74" s="6" t="s">
        <v>111</v>
      </c>
      <c r="K74" s="6" t="s">
        <v>111</v>
      </c>
      <c r="L74" s="6" t="s">
        <v>111</v>
      </c>
      <c r="M74" s="6"/>
      <c r="N74" s="6" t="s">
        <v>97</v>
      </c>
      <c r="O74" s="6" t="s">
        <v>97</v>
      </c>
      <c r="P74" s="6" t="s">
        <v>97</v>
      </c>
      <c r="Q74" s="6" t="s">
        <v>97</v>
      </c>
      <c r="R74" s="6"/>
      <c r="S74" s="6"/>
      <c r="T74" s="6"/>
      <c r="U74" s="6"/>
      <c r="V74" s="6"/>
      <c r="W74" s="6"/>
      <c r="X74" s="6"/>
      <c r="Y74" s="6"/>
    </row>
    <row r="75" customFormat="false" ht="15.75" hidden="false" customHeight="true" outlineLevel="0" collapsed="false">
      <c r="A75" s="11"/>
      <c r="B75" s="6"/>
      <c r="C75" s="6"/>
      <c r="D75" s="6"/>
      <c r="E75" s="6"/>
      <c r="F75" s="6" t="s">
        <v>107</v>
      </c>
      <c r="G75" s="6" t="s">
        <v>107</v>
      </c>
      <c r="H75" s="6" t="s">
        <v>107</v>
      </c>
      <c r="I75" s="6" t="s">
        <v>107</v>
      </c>
      <c r="J75" s="6" t="s">
        <v>107</v>
      </c>
      <c r="K75" s="6" t="s">
        <v>107</v>
      </c>
      <c r="L75" s="6" t="s">
        <v>107</v>
      </c>
      <c r="M75" s="6" t="s">
        <v>107</v>
      </c>
      <c r="N75" s="6" t="s">
        <v>107</v>
      </c>
      <c r="O75" s="6" t="s">
        <v>113</v>
      </c>
      <c r="P75" s="6" t="s">
        <v>113</v>
      </c>
      <c r="Q75" s="6" t="s">
        <v>113</v>
      </c>
      <c r="R75" s="6" t="s">
        <v>113</v>
      </c>
      <c r="S75" s="6" t="s">
        <v>113</v>
      </c>
      <c r="T75" s="6" t="s">
        <v>113</v>
      </c>
      <c r="U75" s="6"/>
      <c r="V75" s="6"/>
      <c r="W75" s="6"/>
      <c r="X75" s="6"/>
      <c r="Y75" s="6"/>
    </row>
    <row r="76" customFormat="false" ht="15.75" hidden="false" customHeight="true" outlineLevel="0" collapsed="false">
      <c r="A76" s="11"/>
      <c r="B76" s="6"/>
      <c r="C76" s="6"/>
      <c r="D76" s="6"/>
      <c r="E76" s="6"/>
      <c r="F76" s="6" t="s">
        <v>102</v>
      </c>
      <c r="G76" s="6" t="s">
        <v>102</v>
      </c>
      <c r="H76" s="6" t="s">
        <v>102</v>
      </c>
      <c r="I76" s="6" t="s">
        <v>102</v>
      </c>
      <c r="J76" s="6"/>
      <c r="K76" s="6"/>
      <c r="L76" s="6"/>
      <c r="M76" s="6"/>
      <c r="N76" s="6" t="s">
        <v>132</v>
      </c>
      <c r="O76" s="6" t="s">
        <v>132</v>
      </c>
      <c r="P76" s="6" t="s">
        <v>132</v>
      </c>
      <c r="Q76" s="6" t="s">
        <v>132</v>
      </c>
      <c r="R76" s="6" t="s">
        <v>132</v>
      </c>
      <c r="S76" s="6" t="s">
        <v>132</v>
      </c>
      <c r="T76" s="6" t="s">
        <v>132</v>
      </c>
      <c r="U76" s="6" t="s">
        <v>132</v>
      </c>
      <c r="V76" s="6" t="s">
        <v>132</v>
      </c>
      <c r="W76" s="6" t="s">
        <v>132</v>
      </c>
      <c r="X76" s="6"/>
      <c r="Y76" s="6"/>
    </row>
    <row r="77" customFormat="false" ht="15.75" hidden="false" customHeight="true" outlineLevel="0" collapsed="false">
      <c r="A77" s="11"/>
      <c r="B77" s="6"/>
      <c r="C77" s="6"/>
      <c r="D77" s="6"/>
      <c r="E77" s="6"/>
      <c r="F77" s="6" t="s">
        <v>103</v>
      </c>
      <c r="G77" s="6" t="s">
        <v>103</v>
      </c>
      <c r="H77" s="6" t="s">
        <v>103</v>
      </c>
      <c r="I77" s="6" t="s">
        <v>103</v>
      </c>
      <c r="J77" s="6" t="s">
        <v>103</v>
      </c>
      <c r="K77" s="6" t="s">
        <v>103</v>
      </c>
      <c r="L77" s="6" t="s">
        <v>103</v>
      </c>
      <c r="M77" s="6" t="s">
        <v>103</v>
      </c>
      <c r="N77" s="6" t="s">
        <v>103</v>
      </c>
      <c r="O77" s="6" t="s">
        <v>103</v>
      </c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5.75" hidden="false" customHeight="true" outlineLevel="0" collapsed="false">
      <c r="A78" s="11"/>
      <c r="B78" s="6"/>
      <c r="C78" s="6"/>
      <c r="D78" s="6" t="s">
        <v>106</v>
      </c>
      <c r="E78" s="6" t="s">
        <v>106</v>
      </c>
      <c r="F78" s="6" t="s">
        <v>106</v>
      </c>
      <c r="G78" s="6" t="s">
        <v>106</v>
      </c>
      <c r="H78" s="6" t="s">
        <v>106</v>
      </c>
      <c r="I78" s="6" t="s">
        <v>106</v>
      </c>
      <c r="J78" s="6" t="s">
        <v>106</v>
      </c>
      <c r="K78" s="6" t="s">
        <v>106</v>
      </c>
      <c r="L78" s="6"/>
      <c r="M78" s="6"/>
      <c r="N78" s="6"/>
      <c r="O78" s="6"/>
      <c r="P78" s="6" t="s">
        <v>105</v>
      </c>
      <c r="Q78" s="6" t="s">
        <v>105</v>
      </c>
      <c r="R78" s="6" t="s">
        <v>105</v>
      </c>
      <c r="S78" s="6" t="s">
        <v>105</v>
      </c>
      <c r="T78" s="6"/>
      <c r="U78" s="6"/>
      <c r="V78" s="6"/>
      <c r="W78" s="6"/>
      <c r="X78" s="6"/>
      <c r="Y78" s="6"/>
    </row>
    <row r="79" customFormat="false" ht="15.75" hidden="false" customHeight="true" outlineLevel="0" collapsed="false">
      <c r="A79" s="11"/>
      <c r="B79" s="6" t="s">
        <v>129</v>
      </c>
      <c r="C79" s="6" t="s">
        <v>129</v>
      </c>
      <c r="D79" s="6" t="s">
        <v>129</v>
      </c>
      <c r="E79" s="6" t="s">
        <v>129</v>
      </c>
      <c r="F79" s="6" t="s">
        <v>129</v>
      </c>
      <c r="G79" s="6"/>
      <c r="H79" s="6" t="s">
        <v>117</v>
      </c>
      <c r="I79" s="6" t="s">
        <v>117</v>
      </c>
      <c r="J79" s="6" t="s">
        <v>117</v>
      </c>
      <c r="K79" s="6" t="s">
        <v>117</v>
      </c>
      <c r="L79" s="6"/>
      <c r="M79" s="6"/>
      <c r="N79" s="6" t="s">
        <v>115</v>
      </c>
      <c r="O79" s="6" t="s">
        <v>115</v>
      </c>
      <c r="P79" s="6" t="s">
        <v>115</v>
      </c>
      <c r="Q79" s="6" t="s">
        <v>115</v>
      </c>
      <c r="R79" s="6" t="s">
        <v>115</v>
      </c>
      <c r="S79" s="6" t="s">
        <v>115</v>
      </c>
      <c r="T79" s="6" t="s">
        <v>115</v>
      </c>
      <c r="U79" s="6" t="s">
        <v>115</v>
      </c>
      <c r="V79" s="6" t="s">
        <v>115</v>
      </c>
      <c r="W79" s="6" t="s">
        <v>115</v>
      </c>
      <c r="X79" s="6"/>
      <c r="Y79" s="6"/>
    </row>
    <row r="80" customFormat="false" ht="15.75" hidden="false" customHeight="true" outlineLevel="0" collapsed="false">
      <c r="A80" s="11"/>
      <c r="B80" s="6"/>
      <c r="C80" s="6"/>
      <c r="D80" s="6"/>
      <c r="E80" s="6"/>
      <c r="F80" s="6" t="s">
        <v>133</v>
      </c>
      <c r="G80" s="6" t="s">
        <v>133</v>
      </c>
      <c r="H80" s="6" t="s">
        <v>133</v>
      </c>
      <c r="I80" s="6" t="s">
        <v>133</v>
      </c>
      <c r="J80" s="6" t="s">
        <v>133</v>
      </c>
      <c r="K80" s="6" t="s">
        <v>133</v>
      </c>
      <c r="L80" s="6" t="s">
        <v>133</v>
      </c>
      <c r="M80" s="6" t="s">
        <v>133</v>
      </c>
      <c r="N80" s="6" t="s">
        <v>133</v>
      </c>
      <c r="O80" s="6" t="s">
        <v>133</v>
      </c>
      <c r="P80" s="6" t="s">
        <v>133</v>
      </c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5.75" hidden="false" customHeight="true" outlineLevel="0" collapsed="false">
      <c r="A81" s="11"/>
      <c r="B81" s="6"/>
      <c r="C81" s="6"/>
      <c r="D81" s="6"/>
      <c r="E81" s="6"/>
      <c r="F81" s="6"/>
      <c r="G81" s="6"/>
      <c r="H81" s="6"/>
      <c r="I81" s="6"/>
      <c r="J81" s="6" t="s">
        <v>137</v>
      </c>
      <c r="K81" s="6" t="s">
        <v>137</v>
      </c>
      <c r="L81" s="6" t="s">
        <v>137</v>
      </c>
      <c r="M81" s="6" t="s">
        <v>137</v>
      </c>
      <c r="N81" s="6" t="s">
        <v>137</v>
      </c>
      <c r="O81" s="6" t="s">
        <v>137</v>
      </c>
      <c r="P81" s="6" t="s">
        <v>137</v>
      </c>
      <c r="Q81" s="6" t="s">
        <v>137</v>
      </c>
      <c r="R81" s="6"/>
      <c r="S81" s="6"/>
      <c r="T81" s="6"/>
      <c r="U81" s="6"/>
      <c r="V81" s="6"/>
      <c r="W81" s="6"/>
      <c r="X81" s="6"/>
      <c r="Y81" s="6"/>
    </row>
    <row r="82" customFormat="false" ht="15.75" hidden="false" customHeight="true" outlineLevel="0" collapsed="false">
      <c r="A82" s="11"/>
      <c r="B82" s="6"/>
      <c r="C82" s="6"/>
      <c r="D82" s="6"/>
      <c r="E82" s="6"/>
      <c r="F82" s="6" t="s">
        <v>109</v>
      </c>
      <c r="G82" s="6" t="s">
        <v>109</v>
      </c>
      <c r="H82" s="6" t="s">
        <v>109</v>
      </c>
      <c r="I82" s="6" t="s">
        <v>109</v>
      </c>
      <c r="J82" s="6" t="s">
        <v>109</v>
      </c>
      <c r="K82" s="6"/>
      <c r="L82" s="6" t="s">
        <v>118</v>
      </c>
      <c r="M82" s="6" t="s">
        <v>118</v>
      </c>
      <c r="N82" s="6" t="s">
        <v>118</v>
      </c>
      <c r="O82" s="6" t="s">
        <v>118</v>
      </c>
      <c r="P82" s="6" t="s">
        <v>118</v>
      </c>
      <c r="Q82" s="6" t="s">
        <v>118</v>
      </c>
      <c r="R82" s="6"/>
      <c r="S82" s="6"/>
      <c r="T82" s="6"/>
      <c r="U82" s="6"/>
      <c r="V82" s="6"/>
      <c r="W82" s="6"/>
      <c r="X82" s="6"/>
      <c r="Y82" s="6"/>
    </row>
    <row r="83" customFormat="false" ht="15.75" hidden="false" customHeight="true" outlineLevel="0" collapsed="false">
      <c r="A83" s="11"/>
      <c r="B83" s="6"/>
      <c r="C83" s="6"/>
      <c r="D83" s="6"/>
      <c r="E83" s="6" t="s">
        <v>121</v>
      </c>
      <c r="F83" s="6" t="s">
        <v>121</v>
      </c>
      <c r="G83" s="6" t="s">
        <v>121</v>
      </c>
      <c r="H83" s="6" t="s">
        <v>121</v>
      </c>
      <c r="I83" s="6" t="s">
        <v>121</v>
      </c>
      <c r="J83" s="6" t="s">
        <v>121</v>
      </c>
      <c r="K83" s="6"/>
      <c r="L83" s="6"/>
      <c r="M83" s="6" t="s">
        <v>126</v>
      </c>
      <c r="N83" s="6" t="s">
        <v>126</v>
      </c>
      <c r="O83" s="6" t="s">
        <v>126</v>
      </c>
      <c r="P83" s="6" t="s">
        <v>126</v>
      </c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5.75" hidden="false" customHeight="true" outlineLevel="0" collapsed="false">
      <c r="A84" s="11"/>
      <c r="B84" s="6"/>
      <c r="C84" s="6"/>
      <c r="D84" s="6"/>
      <c r="E84" s="6"/>
      <c r="F84" s="6" t="s">
        <v>134</v>
      </c>
      <c r="G84" s="6" t="s">
        <v>134</v>
      </c>
      <c r="H84" s="6" t="s">
        <v>134</v>
      </c>
      <c r="I84" s="6" t="s">
        <v>134</v>
      </c>
      <c r="J84" s="6" t="s">
        <v>134</v>
      </c>
      <c r="K84" s="6" t="s">
        <v>134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5.75" hidden="false" customHeight="true" outlineLevel="0" collapsed="false">
      <c r="A85" s="11"/>
      <c r="B85" s="6"/>
      <c r="C85" s="6"/>
      <c r="D85" s="6"/>
      <c r="E85" s="6" t="s">
        <v>135</v>
      </c>
      <c r="F85" s="6" t="s">
        <v>135</v>
      </c>
      <c r="G85" s="6" t="s">
        <v>135</v>
      </c>
      <c r="H85" s="6" t="s">
        <v>135</v>
      </c>
      <c r="I85" s="6" t="s">
        <v>135</v>
      </c>
      <c r="J85" s="6" t="s">
        <v>135</v>
      </c>
      <c r="K85" s="6" t="s">
        <v>135</v>
      </c>
      <c r="L85" s="6" t="s">
        <v>135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5.75" hidden="false" customHeight="true" outlineLevel="0" collapsed="false">
      <c r="A86" s="11"/>
      <c r="B86" s="6"/>
      <c r="C86" s="6"/>
      <c r="D86" s="6"/>
      <c r="E86" s="6"/>
      <c r="F86" s="6"/>
      <c r="G86" s="6"/>
      <c r="H86" s="6"/>
      <c r="I86" s="6"/>
      <c r="J86" s="6"/>
      <c r="K86" s="6" t="s">
        <v>136</v>
      </c>
      <c r="L86" s="6" t="s">
        <v>136</v>
      </c>
      <c r="M86" s="6" t="s">
        <v>136</v>
      </c>
      <c r="N86" s="6" t="s">
        <v>136</v>
      </c>
      <c r="O86" s="6"/>
      <c r="P86" s="6"/>
      <c r="Q86" s="6"/>
      <c r="R86" s="6"/>
      <c r="S86" s="6" t="s">
        <v>136</v>
      </c>
      <c r="T86" s="6" t="s">
        <v>136</v>
      </c>
      <c r="U86" s="6" t="s">
        <v>136</v>
      </c>
      <c r="V86" s="6"/>
      <c r="W86" s="6"/>
      <c r="X86" s="6"/>
      <c r="Y86" s="6"/>
    </row>
    <row r="87" customFormat="false" ht="15.75" hidden="false" customHeight="true" outlineLevel="0" collapsed="false">
      <c r="A87" s="11"/>
      <c r="B87" s="6" t="s">
        <v>131</v>
      </c>
      <c r="C87" s="6" t="s">
        <v>131</v>
      </c>
      <c r="D87" s="6" t="s">
        <v>131</v>
      </c>
      <c r="E87" s="6" t="s">
        <v>131</v>
      </c>
      <c r="F87" s="6" t="s">
        <v>131</v>
      </c>
      <c r="G87" s="6" t="s">
        <v>131</v>
      </c>
      <c r="H87" s="6" t="s">
        <v>131</v>
      </c>
      <c r="I87" s="6" t="s">
        <v>131</v>
      </c>
      <c r="J87" s="6" t="s">
        <v>131</v>
      </c>
      <c r="K87" s="6" t="s">
        <v>131</v>
      </c>
      <c r="L87" s="6" t="s">
        <v>131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5.75" hidden="false" customHeight="true" outlineLevel="0" collapsed="false">
      <c r="A88" s="1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5.75" hidden="false" customHeight="true" outlineLevel="0" collapsed="false">
      <c r="A89" s="1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6.5" hidden="false" customHeight="true" outlineLevel="0" collapsed="false">
      <c r="A90" s="12"/>
      <c r="B90" s="6" t="n">
        <f aca="false">COUNTA(B70:B89)</f>
        <v>5</v>
      </c>
      <c r="C90" s="6" t="n">
        <f aca="false">COUNTA(C70:C89)</f>
        <v>5</v>
      </c>
      <c r="D90" s="6" t="n">
        <f aca="false">COUNTA(D70:D89)</f>
        <v>6</v>
      </c>
      <c r="E90" s="6" t="n">
        <f aca="false">COUNTA(E70:E89)</f>
        <v>7</v>
      </c>
      <c r="F90" s="6" t="n">
        <f aca="false">COUNTA(F70:F89)</f>
        <v>15</v>
      </c>
      <c r="G90" s="6" t="n">
        <f aca="false">COUNTA(G70:G89)</f>
        <v>13</v>
      </c>
      <c r="H90" s="6" t="n">
        <f aca="false">COUNTA(H70:H89)</f>
        <v>15</v>
      </c>
      <c r="I90" s="6" t="n">
        <f aca="false">COUNTA(I70:I89)</f>
        <v>15</v>
      </c>
      <c r="J90" s="6" t="n">
        <f aca="false">COUNTA(J70:J89)</f>
        <v>14</v>
      </c>
      <c r="K90" s="6" t="n">
        <f aca="false">COUNTA(K70:K89)</f>
        <v>12</v>
      </c>
      <c r="L90" s="6" t="n">
        <f aca="false">COUNTA(L70:L89)</f>
        <v>11</v>
      </c>
      <c r="M90" s="6" t="n">
        <f aca="false">COUNTA(M70:M89)</f>
        <v>9</v>
      </c>
      <c r="N90" s="6" t="n">
        <f aca="false">COUNTA(N70:N89)</f>
        <v>12</v>
      </c>
      <c r="O90" s="6" t="n">
        <f aca="false">COUNTA(O70:O89)</f>
        <v>11</v>
      </c>
      <c r="P90" s="6" t="n">
        <f aca="false">COUNTA(P70:P89)</f>
        <v>11</v>
      </c>
      <c r="Q90" s="6" t="n">
        <f aca="false">COUNTA(Q70:Q89)</f>
        <v>10</v>
      </c>
      <c r="R90" s="6" t="n">
        <f aca="false">COUNTA(R71:R89)</f>
        <v>6</v>
      </c>
      <c r="S90" s="6" t="n">
        <f aca="false">COUNTA(S71:S89)</f>
        <v>7</v>
      </c>
      <c r="T90" s="6" t="n">
        <f aca="false">COUNTA(T71:T89)</f>
        <v>5</v>
      </c>
      <c r="U90" s="6" t="n">
        <f aca="false">COUNTA(U71:U89)</f>
        <v>4</v>
      </c>
      <c r="V90" s="6" t="n">
        <f aca="false">COUNTA(V71:V89)</f>
        <v>5</v>
      </c>
      <c r="W90" s="6" t="n">
        <f aca="false">COUNTA(W71:W89)</f>
        <v>4</v>
      </c>
      <c r="X90" s="6" t="n">
        <f aca="false">COUNTA(X71:X89)</f>
        <v>2</v>
      </c>
      <c r="Y90" s="6" t="n">
        <f aca="false">COUNTA(Y71:Y89)</f>
        <v>2</v>
      </c>
    </row>
    <row r="91" customFormat="false" ht="15.75" hidden="false" customHeight="true" outlineLevel="0" collapsed="false">
      <c r="A91" s="5" t="s">
        <v>76</v>
      </c>
      <c r="B91" s="6"/>
      <c r="C91" s="6"/>
      <c r="D91" s="6"/>
      <c r="E91" s="6"/>
      <c r="F91" s="7"/>
      <c r="G91" s="7"/>
      <c r="H91" s="7"/>
      <c r="I91" s="7"/>
      <c r="J91" s="14"/>
      <c r="K91" s="7"/>
      <c r="L91" s="6"/>
      <c r="M91" s="6" t="s">
        <v>125</v>
      </c>
      <c r="N91" s="6" t="s">
        <v>125</v>
      </c>
      <c r="O91" s="6" t="s">
        <v>125</v>
      </c>
      <c r="P91" s="6" t="s">
        <v>125</v>
      </c>
      <c r="Q91" s="6" t="s">
        <v>125</v>
      </c>
      <c r="R91" s="6" t="s">
        <v>125</v>
      </c>
      <c r="S91" s="6" t="s">
        <v>125</v>
      </c>
      <c r="T91" s="6" t="s">
        <v>125</v>
      </c>
      <c r="U91" s="6"/>
      <c r="V91" s="6"/>
      <c r="W91" s="6"/>
      <c r="X91" s="6"/>
      <c r="Y91" s="6"/>
    </row>
    <row r="92" customFormat="false" ht="15.75" hidden="false" customHeight="true" outlineLevel="0" collapsed="false">
      <c r="A92" s="5"/>
      <c r="B92" s="6" t="s">
        <v>130</v>
      </c>
      <c r="C92" s="6" t="s">
        <v>130</v>
      </c>
      <c r="D92" s="6" t="s">
        <v>130</v>
      </c>
      <c r="E92" s="6"/>
      <c r="F92" s="8" t="s">
        <v>29</v>
      </c>
      <c r="G92" s="7"/>
      <c r="H92" s="8" t="s">
        <v>77</v>
      </c>
      <c r="I92" s="7"/>
      <c r="J92" s="8" t="s">
        <v>78</v>
      </c>
      <c r="K92" s="7"/>
      <c r="L92" s="6"/>
      <c r="M92" s="6" t="s">
        <v>112</v>
      </c>
      <c r="N92" s="6" t="s">
        <v>112</v>
      </c>
      <c r="O92" s="6" t="s">
        <v>112</v>
      </c>
      <c r="P92" s="6" t="s">
        <v>112</v>
      </c>
      <c r="Q92" s="6" t="s">
        <v>112</v>
      </c>
      <c r="R92" s="6" t="s">
        <v>112</v>
      </c>
      <c r="S92" s="6"/>
      <c r="T92" s="6"/>
      <c r="U92" s="6"/>
      <c r="V92" s="6"/>
      <c r="W92" s="6"/>
      <c r="X92" s="6"/>
      <c r="Y92" s="6"/>
    </row>
    <row r="93" customFormat="false" ht="15.75" hidden="false" customHeight="true" outlineLevel="0" collapsed="false">
      <c r="A93" s="5"/>
      <c r="B93" s="6" t="s">
        <v>99</v>
      </c>
      <c r="C93" s="6" t="s">
        <v>99</v>
      </c>
      <c r="D93" s="6" t="s">
        <v>99</v>
      </c>
      <c r="E93" s="6" t="s">
        <v>99</v>
      </c>
      <c r="F93" s="7"/>
      <c r="G93" s="7"/>
      <c r="H93" s="8"/>
      <c r="I93" s="7"/>
      <c r="J93" s="8"/>
      <c r="K93" s="15"/>
      <c r="L93" s="6"/>
      <c r="M93" s="6"/>
      <c r="N93" s="6"/>
      <c r="O93" s="6"/>
      <c r="P93" s="6" t="s">
        <v>102</v>
      </c>
      <c r="Q93" s="6" t="s">
        <v>102</v>
      </c>
      <c r="R93" s="6" t="s">
        <v>102</v>
      </c>
      <c r="S93" s="6" t="s">
        <v>102</v>
      </c>
      <c r="T93" s="6"/>
      <c r="U93" s="6"/>
      <c r="V93" s="6"/>
      <c r="W93" s="6"/>
      <c r="X93" s="6"/>
      <c r="Y93" s="6"/>
    </row>
    <row r="94" customFormat="false" ht="15.75" hidden="false" customHeight="true" outlineLevel="0" collapsed="false">
      <c r="A94" s="5"/>
      <c r="B94" s="6" t="s">
        <v>106</v>
      </c>
      <c r="C94" s="6" t="s">
        <v>106</v>
      </c>
      <c r="D94" s="6" t="s">
        <v>106</v>
      </c>
      <c r="E94" s="6"/>
      <c r="F94" s="7"/>
      <c r="G94" s="7"/>
      <c r="H94" s="8"/>
      <c r="I94" s="7"/>
      <c r="J94" s="8"/>
      <c r="K94" s="15"/>
      <c r="L94" s="6"/>
      <c r="M94" s="6"/>
      <c r="N94" s="6" t="s">
        <v>106</v>
      </c>
      <c r="O94" s="6" t="s">
        <v>106</v>
      </c>
      <c r="P94" s="6" t="s">
        <v>106</v>
      </c>
      <c r="Q94" s="6" t="s">
        <v>106</v>
      </c>
      <c r="R94" s="6" t="s">
        <v>106</v>
      </c>
      <c r="S94" s="6"/>
      <c r="T94" s="6"/>
      <c r="U94" s="6"/>
      <c r="V94" s="6"/>
      <c r="W94" s="6"/>
      <c r="X94" s="6"/>
      <c r="Y94" s="6"/>
    </row>
    <row r="95" customFormat="false" ht="15.75" hidden="false" customHeight="true" outlineLevel="0" collapsed="false">
      <c r="A95" s="5"/>
      <c r="B95" s="6" t="s">
        <v>109</v>
      </c>
      <c r="C95" s="6" t="s">
        <v>109</v>
      </c>
      <c r="D95" s="6" t="s">
        <v>109</v>
      </c>
      <c r="E95" s="6" t="s">
        <v>109</v>
      </c>
      <c r="F95" s="7"/>
      <c r="G95" s="7"/>
      <c r="H95" s="8"/>
      <c r="I95" s="7"/>
      <c r="J95" s="8"/>
      <c r="K95" s="15"/>
      <c r="L95" s="6" t="s">
        <v>111</v>
      </c>
      <c r="M95" s="6" t="s">
        <v>111</v>
      </c>
      <c r="N95" s="6" t="s">
        <v>111</v>
      </c>
      <c r="O95" s="6"/>
      <c r="P95" s="6" t="s">
        <v>129</v>
      </c>
      <c r="Q95" s="6" t="s">
        <v>129</v>
      </c>
      <c r="R95" s="6" t="s">
        <v>129</v>
      </c>
      <c r="S95" s="6" t="s">
        <v>129</v>
      </c>
      <c r="T95" s="6" t="s">
        <v>129</v>
      </c>
      <c r="U95" s="6" t="s">
        <v>129</v>
      </c>
      <c r="V95" s="6" t="s">
        <v>129</v>
      </c>
      <c r="W95" s="6"/>
      <c r="X95" s="6"/>
      <c r="Y95" s="6"/>
    </row>
    <row r="96" customFormat="false" ht="15.75" hidden="false" customHeight="true" outlineLevel="0" collapsed="false">
      <c r="A96" s="5"/>
      <c r="B96" s="6"/>
      <c r="C96" s="6"/>
      <c r="D96" s="6"/>
      <c r="E96" s="6"/>
      <c r="F96" s="7"/>
      <c r="G96" s="7"/>
      <c r="H96" s="8"/>
      <c r="I96" s="7"/>
      <c r="J96" s="8"/>
      <c r="K96" s="15"/>
      <c r="L96" s="6"/>
      <c r="M96" s="6" t="s">
        <v>114</v>
      </c>
      <c r="N96" s="6" t="s">
        <v>114</v>
      </c>
      <c r="O96" s="6" t="s">
        <v>114</v>
      </c>
      <c r="P96" s="6" t="s">
        <v>114</v>
      </c>
      <c r="Q96" s="6" t="s">
        <v>114</v>
      </c>
      <c r="R96" s="6" t="s">
        <v>114</v>
      </c>
      <c r="S96" s="6"/>
      <c r="T96" s="6"/>
      <c r="U96" s="6"/>
      <c r="V96" s="6"/>
      <c r="W96" s="6"/>
      <c r="X96" s="6"/>
      <c r="Y96" s="6"/>
    </row>
    <row r="97" customFormat="false" ht="15.75" hidden="false" customHeight="true" outlineLevel="0" collapsed="false">
      <c r="A97" s="5"/>
      <c r="B97" s="6"/>
      <c r="C97" s="6"/>
      <c r="D97" s="6"/>
      <c r="E97" s="6"/>
      <c r="F97" s="7"/>
      <c r="G97" s="7"/>
      <c r="H97" s="8"/>
      <c r="I97" s="7"/>
      <c r="J97" s="8"/>
      <c r="K97" s="15"/>
      <c r="L97" s="6"/>
      <c r="M97" s="6" t="s">
        <v>137</v>
      </c>
      <c r="N97" s="6" t="s">
        <v>137</v>
      </c>
      <c r="O97" s="6" t="s">
        <v>137</v>
      </c>
      <c r="P97" s="6" t="s">
        <v>137</v>
      </c>
      <c r="Q97" s="6" t="s">
        <v>137</v>
      </c>
      <c r="R97" s="6" t="s">
        <v>137</v>
      </c>
      <c r="S97" s="6"/>
      <c r="T97" s="6"/>
      <c r="U97" s="6"/>
      <c r="V97" s="6"/>
      <c r="W97" s="6"/>
      <c r="X97" s="6"/>
      <c r="Y97" s="6"/>
    </row>
    <row r="98" customFormat="false" ht="15.75" hidden="false" customHeight="true" outlineLevel="0" collapsed="false">
      <c r="A98" s="5"/>
      <c r="B98" s="6"/>
      <c r="C98" s="6"/>
      <c r="D98" s="6"/>
      <c r="E98" s="6"/>
      <c r="F98" s="7"/>
      <c r="G98" s="7"/>
      <c r="H98" s="8"/>
      <c r="I98" s="7"/>
      <c r="J98" s="8"/>
      <c r="K98" s="15"/>
      <c r="L98" s="6" t="s">
        <v>118</v>
      </c>
      <c r="M98" s="6" t="s">
        <v>118</v>
      </c>
      <c r="N98" s="6" t="s">
        <v>118</v>
      </c>
      <c r="O98" s="6" t="s">
        <v>118</v>
      </c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5.75" hidden="false" customHeight="true" outlineLevel="0" collapsed="false">
      <c r="A99" s="5"/>
      <c r="B99" s="6"/>
      <c r="C99" s="6"/>
      <c r="D99" s="6"/>
      <c r="E99" s="6"/>
      <c r="F99" s="7"/>
      <c r="G99" s="7"/>
      <c r="H99" s="8"/>
      <c r="I99" s="7"/>
      <c r="J99" s="8"/>
      <c r="K99" s="15"/>
      <c r="L99" s="6" t="s">
        <v>126</v>
      </c>
      <c r="M99" s="6" t="s">
        <v>126</v>
      </c>
      <c r="N99" s="6" t="s">
        <v>126</v>
      </c>
      <c r="O99" s="6" t="s">
        <v>126</v>
      </c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5.75" hidden="false" customHeight="true" outlineLevel="0" collapsed="false">
      <c r="A100" s="5"/>
      <c r="B100" s="6"/>
      <c r="C100" s="6"/>
      <c r="D100" s="6"/>
      <c r="E100" s="6"/>
      <c r="F100" s="7"/>
      <c r="G100" s="7"/>
      <c r="H100" s="8"/>
      <c r="I100" s="7"/>
      <c r="J100" s="8"/>
      <c r="K100" s="15"/>
      <c r="L100" s="6" t="s">
        <v>120</v>
      </c>
      <c r="M100" s="6" t="s">
        <v>120</v>
      </c>
      <c r="N100" s="6" t="s">
        <v>120</v>
      </c>
      <c r="O100" s="6" t="s">
        <v>120</v>
      </c>
      <c r="P100" s="6" t="s">
        <v>120</v>
      </c>
      <c r="Q100" s="6" t="s">
        <v>120</v>
      </c>
      <c r="R100" s="6"/>
      <c r="S100" s="6"/>
      <c r="T100" s="6"/>
      <c r="U100" s="6"/>
      <c r="V100" s="6"/>
      <c r="W100" s="6"/>
      <c r="X100" s="6"/>
      <c r="Y100" s="6"/>
    </row>
    <row r="101" customFormat="false" ht="15.75" hidden="false" customHeight="true" outlineLevel="0" collapsed="false">
      <c r="A101" s="5"/>
      <c r="B101" s="6"/>
      <c r="C101" s="6"/>
      <c r="D101" s="6"/>
      <c r="E101" s="6"/>
      <c r="F101" s="7"/>
      <c r="G101" s="7"/>
      <c r="H101" s="8"/>
      <c r="I101" s="7"/>
      <c r="J101" s="8"/>
      <c r="K101" s="15"/>
      <c r="L101" s="6" t="s">
        <v>134</v>
      </c>
      <c r="M101" s="6" t="s">
        <v>134</v>
      </c>
      <c r="N101" s="6" t="s">
        <v>134</v>
      </c>
      <c r="O101" s="6" t="s">
        <v>134</v>
      </c>
      <c r="P101" s="6" t="s">
        <v>134</v>
      </c>
      <c r="Q101" s="6" t="s">
        <v>134</v>
      </c>
      <c r="R101" s="6" t="s">
        <v>134</v>
      </c>
      <c r="S101" s="6" t="s">
        <v>134</v>
      </c>
      <c r="T101" s="6" t="s">
        <v>134</v>
      </c>
      <c r="U101" s="6" t="s">
        <v>134</v>
      </c>
      <c r="V101" s="6"/>
      <c r="W101" s="6"/>
      <c r="X101" s="6"/>
      <c r="Y101" s="6"/>
    </row>
    <row r="102" customFormat="false" ht="15.75" hidden="false" customHeight="true" outlineLevel="0" collapsed="false">
      <c r="A102" s="5"/>
      <c r="B102" s="6"/>
      <c r="C102" s="6"/>
      <c r="D102" s="6"/>
      <c r="E102" s="6"/>
      <c r="F102" s="7"/>
      <c r="G102" s="7"/>
      <c r="H102" s="8"/>
      <c r="I102" s="7"/>
      <c r="J102" s="8"/>
      <c r="K102" s="15"/>
      <c r="L102" s="6" t="s">
        <v>135</v>
      </c>
      <c r="M102" s="6" t="s">
        <v>135</v>
      </c>
      <c r="N102" s="6" t="s">
        <v>135</v>
      </c>
      <c r="O102" s="6" t="s">
        <v>135</v>
      </c>
      <c r="P102" s="6" t="s">
        <v>135</v>
      </c>
      <c r="Q102" s="6" t="s">
        <v>135</v>
      </c>
      <c r="R102" s="6"/>
      <c r="S102" s="6"/>
      <c r="T102" s="6"/>
      <c r="U102" s="6"/>
      <c r="V102" s="6"/>
      <c r="W102" s="6"/>
      <c r="X102" s="6"/>
      <c r="Y102" s="6"/>
    </row>
    <row r="103" customFormat="false" ht="15.75" hidden="false" customHeight="true" outlineLevel="0" collapsed="false">
      <c r="A103" s="5"/>
      <c r="B103" s="6"/>
      <c r="C103" s="6"/>
      <c r="D103" s="6"/>
      <c r="E103" s="6"/>
      <c r="F103" s="7"/>
      <c r="G103" s="7"/>
      <c r="H103" s="8"/>
      <c r="I103" s="7"/>
      <c r="J103" s="8"/>
      <c r="K103" s="15"/>
      <c r="L103" s="6" t="s">
        <v>136</v>
      </c>
      <c r="M103" s="6" t="s">
        <v>136</v>
      </c>
      <c r="N103" s="6" t="s">
        <v>136</v>
      </c>
      <c r="O103" s="6" t="s">
        <v>136</v>
      </c>
      <c r="P103" s="6" t="s">
        <v>136</v>
      </c>
      <c r="Q103" s="6" t="s">
        <v>136</v>
      </c>
      <c r="R103" s="6" t="s">
        <v>136</v>
      </c>
      <c r="S103" s="6" t="s">
        <v>136</v>
      </c>
      <c r="T103" s="6"/>
      <c r="U103" s="6"/>
      <c r="V103" s="6"/>
      <c r="W103" s="6"/>
      <c r="X103" s="6"/>
      <c r="Y103" s="6"/>
    </row>
    <row r="104" customFormat="false" ht="15.75" hidden="false" customHeight="true" outlineLevel="0" collapsed="false">
      <c r="A104" s="5"/>
      <c r="B104" s="6"/>
      <c r="C104" s="6"/>
      <c r="D104" s="6"/>
      <c r="E104" s="6"/>
      <c r="F104" s="7"/>
      <c r="G104" s="7"/>
      <c r="H104" s="8"/>
      <c r="I104" s="7"/>
      <c r="J104" s="8"/>
      <c r="K104" s="16"/>
      <c r="L104" s="6" t="s">
        <v>124</v>
      </c>
      <c r="M104" s="6" t="s">
        <v>124</v>
      </c>
      <c r="N104" s="6" t="s">
        <v>124</v>
      </c>
      <c r="O104" s="6" t="s">
        <v>124</v>
      </c>
      <c r="P104" s="6" t="s">
        <v>124</v>
      </c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5.75" hidden="false" customHeight="true" outlineLevel="0" collapsed="false">
      <c r="A105" s="5"/>
      <c r="B105" s="6"/>
      <c r="C105" s="6"/>
      <c r="D105" s="6"/>
      <c r="E105" s="6"/>
      <c r="F105" s="7"/>
      <c r="G105" s="7"/>
      <c r="H105" s="8"/>
      <c r="I105" s="7"/>
      <c r="J105" s="8"/>
      <c r="K105" s="7"/>
      <c r="L105" s="6" t="s">
        <v>123</v>
      </c>
      <c r="M105" s="6" t="s">
        <v>123</v>
      </c>
      <c r="N105" s="6" t="s">
        <v>123</v>
      </c>
      <c r="O105" s="6" t="s">
        <v>123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5.75" hidden="false" customHeight="true" outlineLevel="0" collapsed="false">
      <c r="A106" s="5"/>
      <c r="B106" s="6"/>
      <c r="C106" s="6"/>
      <c r="D106" s="6"/>
      <c r="E106" s="6"/>
      <c r="F106" s="7"/>
      <c r="G106" s="7"/>
      <c r="H106" s="7"/>
      <c r="I106" s="7"/>
      <c r="J106" s="7"/>
      <c r="K106" s="1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5.75" hidden="false" customHeight="true" outlineLevel="0" collapsed="false">
      <c r="A107" s="5"/>
      <c r="B107" s="6"/>
      <c r="C107" s="6"/>
      <c r="D107" s="6"/>
      <c r="E107" s="6"/>
      <c r="F107" s="7"/>
      <c r="G107" s="7"/>
      <c r="H107" s="7"/>
      <c r="I107" s="7"/>
      <c r="J107" s="14"/>
      <c r="K107" s="14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5.75" hidden="false" customHeight="true" outlineLevel="0" collapsed="false">
      <c r="A108" s="5"/>
      <c r="B108" s="6"/>
      <c r="C108" s="6"/>
      <c r="D108" s="6"/>
      <c r="E108" s="6"/>
      <c r="F108" s="7"/>
      <c r="G108" s="7"/>
      <c r="H108" s="7"/>
      <c r="I108" s="7"/>
      <c r="J108" s="7"/>
      <c r="K108" s="14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5.75" hidden="false" customHeight="true" outlineLevel="0" collapsed="false">
      <c r="A109" s="5"/>
      <c r="B109" s="6"/>
      <c r="C109" s="6"/>
      <c r="D109" s="6"/>
      <c r="E109" s="6"/>
      <c r="F109" s="7"/>
      <c r="G109" s="7"/>
      <c r="H109" s="7"/>
      <c r="I109" s="7"/>
      <c r="J109" s="15"/>
      <c r="K109" s="1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5" hidden="false" customHeight="true" outlineLevel="0" collapsed="false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5.75" hidden="false" customHeight="true" outlineLevel="0" collapsed="false">
      <c r="A111" s="17"/>
      <c r="B111" s="18" t="n">
        <f aca="false">COUNTA(B91:B110)</f>
        <v>4</v>
      </c>
      <c r="C111" s="18" t="n">
        <f aca="false">COUNTA(C91:C110)</f>
        <v>4</v>
      </c>
      <c r="D111" s="18" t="n">
        <f aca="false">COUNTA(D91:D110)</f>
        <v>4</v>
      </c>
      <c r="E111" s="18" t="n">
        <f aca="false">COUNTA(E91:E110)</f>
        <v>2</v>
      </c>
      <c r="F111" s="18" t="n">
        <f aca="false">COUNTA(F91:F110)</f>
        <v>1</v>
      </c>
      <c r="G111" s="18" t="n">
        <f aca="false">COUNTA(G91:G110)</f>
        <v>0</v>
      </c>
      <c r="H111" s="18" t="n">
        <f aca="false">COUNTA(H91:H110)</f>
        <v>1</v>
      </c>
      <c r="I111" s="18" t="n">
        <f aca="false">COUNTA(I91:I110)</f>
        <v>0</v>
      </c>
      <c r="J111" s="18" t="n">
        <f aca="false">COUNTA(J91:J110)</f>
        <v>1</v>
      </c>
      <c r="K111" s="18" t="n">
        <f aca="false">COUNTA(K91:K110)</f>
        <v>0</v>
      </c>
      <c r="L111" s="18" t="n">
        <f aca="false">COUNTA(L91:L110)</f>
        <v>9</v>
      </c>
      <c r="M111" s="18" t="n">
        <f aca="false">COUNTA(M91:M110)</f>
        <v>13</v>
      </c>
      <c r="N111" s="18" t="n">
        <f aca="false">COUNTA(N91:N110)</f>
        <v>14</v>
      </c>
      <c r="O111" s="18" t="n">
        <f aca="false">COUNTA(O91:O110)</f>
        <v>13</v>
      </c>
      <c r="P111" s="18" t="n">
        <f aca="false">COUNTA(P91:P110)</f>
        <v>12</v>
      </c>
      <c r="Q111" s="18" t="n">
        <f aca="false">COUNTA(Q91:Q110)</f>
        <v>11</v>
      </c>
      <c r="R111" s="18" t="n">
        <f aca="false">COUNTA(R91:R110)</f>
        <v>9</v>
      </c>
      <c r="S111" s="18" t="n">
        <f aca="false">COUNTA(S91:S110)</f>
        <v>5</v>
      </c>
      <c r="T111" s="18" t="n">
        <f aca="false">COUNTA(T91:T110)</f>
        <v>3</v>
      </c>
      <c r="U111" s="18" t="n">
        <f aca="false">COUNTA(U91:U110)</f>
        <v>2</v>
      </c>
      <c r="V111" s="18" t="n">
        <f aca="false">COUNTA(V91:V110)</f>
        <v>1</v>
      </c>
      <c r="W111" s="18" t="n">
        <f aca="false">COUNTA(W91:W110)</f>
        <v>0</v>
      </c>
      <c r="X111" s="18" t="n">
        <f aca="false">COUNTA(X91:X110)</f>
        <v>0</v>
      </c>
      <c r="Y111" s="18" t="n">
        <f aca="false">COUNTA(Y91:Y110)</f>
        <v>0</v>
      </c>
    </row>
    <row r="112" customFormat="false" ht="15.75" hidden="false" customHeight="true" outlineLevel="1" collapsed="false">
      <c r="A112" s="19"/>
      <c r="B112" s="20" t="s">
        <v>80</v>
      </c>
      <c r="C112" s="20"/>
      <c r="D112" s="20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customFormat="false" ht="15.75" hidden="false" customHeight="true" outlineLevel="1" collapsed="false">
      <c r="A113" s="19"/>
      <c r="B113" s="22" t="s">
        <v>81</v>
      </c>
      <c r="C113" s="22"/>
      <c r="D113" s="22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customFormat="false" ht="15.75" hidden="false" customHeight="true" outlineLevel="1" collapsed="false">
      <c r="A114" s="19"/>
      <c r="B114" s="23" t="s">
        <v>82</v>
      </c>
      <c r="C114" s="23"/>
      <c r="D114" s="23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customFormat="false" ht="15.75" hidden="false" customHeight="true" outlineLevel="1" collapsed="false">
      <c r="A115" s="19"/>
      <c r="B115" s="24" t="s">
        <v>83</v>
      </c>
      <c r="C115" s="24"/>
      <c r="D115" s="24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customFormat="false" ht="15.75" hidden="false" customHeight="true" outlineLevel="1" collapsed="false">
      <c r="A116" s="19"/>
      <c r="B116" s="25" t="s">
        <v>84</v>
      </c>
      <c r="C116" s="25"/>
      <c r="D116" s="25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customFormat="false" ht="15.75" hidden="false" customHeight="true" outlineLevel="1" collapsed="false">
      <c r="A117" s="19"/>
      <c r="B117" s="26" t="s">
        <v>85</v>
      </c>
      <c r="C117" s="26"/>
      <c r="D117" s="26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customFormat="false" ht="15.75" hidden="false" customHeight="true" outlineLevel="1" collapsed="false">
      <c r="A118" s="19"/>
      <c r="B118" s="27" t="s">
        <v>86</v>
      </c>
      <c r="C118" s="27"/>
      <c r="D118" s="27"/>
      <c r="E118" s="21"/>
      <c r="F118" s="21"/>
      <c r="I118" s="21"/>
      <c r="J118" s="21"/>
      <c r="K118" s="21"/>
      <c r="L118" s="21"/>
      <c r="M118" s="21"/>
      <c r="N118" s="21"/>
      <c r="O118" s="21"/>
      <c r="P118" s="21"/>
      <c r="Q118" s="28" t="s">
        <v>87</v>
      </c>
      <c r="R118" s="28" t="s">
        <v>88</v>
      </c>
      <c r="S118" s="21"/>
      <c r="T118" s="21"/>
      <c r="U118" s="21"/>
      <c r="V118" s="21"/>
      <c r="W118" s="21"/>
      <c r="X118" s="21"/>
      <c r="Y118" s="21"/>
    </row>
    <row r="119" customFormat="false" ht="15.75" hidden="false" customHeight="true" outlineLevel="1" collapsed="false">
      <c r="A119" s="19"/>
      <c r="B119" s="21"/>
      <c r="C119" s="21"/>
      <c r="D119" s="29"/>
      <c r="E119" s="21"/>
      <c r="F119" s="21"/>
      <c r="H119" s="29"/>
      <c r="I119" s="21"/>
      <c r="J119" s="21"/>
      <c r="K119" s="21"/>
      <c r="L119" s="21"/>
      <c r="M119" s="21"/>
      <c r="N119" s="21"/>
      <c r="O119" s="21"/>
      <c r="P119" s="21"/>
      <c r="Q119" s="28" t="s">
        <v>126</v>
      </c>
      <c r="R119" s="28" t="s">
        <v>138</v>
      </c>
      <c r="S119" s="21"/>
      <c r="T119" s="21"/>
      <c r="U119" s="21"/>
      <c r="V119" s="21"/>
      <c r="W119" s="21"/>
      <c r="X119" s="21"/>
      <c r="Y119" s="21"/>
    </row>
    <row r="120" customFormat="false" ht="15.75" hidden="false" customHeight="true" outlineLevel="1" collapsed="false">
      <c r="A120" s="19"/>
      <c r="B120" s="21"/>
      <c r="C120" s="21"/>
      <c r="D120" s="29"/>
      <c r="E120" s="21"/>
      <c r="F120" s="21"/>
      <c r="H120" s="29"/>
      <c r="I120" s="21"/>
      <c r="J120" s="21"/>
      <c r="K120" s="21"/>
      <c r="L120" s="21"/>
      <c r="M120" s="21"/>
      <c r="N120" s="21"/>
      <c r="O120" s="21"/>
      <c r="P120" s="21"/>
      <c r="Q120" s="29" t="s">
        <v>130</v>
      </c>
      <c r="R120" s="30" t="s">
        <v>139</v>
      </c>
      <c r="S120" s="21"/>
      <c r="T120" s="21"/>
      <c r="U120" s="21"/>
      <c r="V120" s="21"/>
      <c r="W120" s="21"/>
      <c r="X120" s="21"/>
      <c r="Y120" s="21"/>
    </row>
    <row r="121" customFormat="false" ht="15.75" hidden="false" customHeight="true" outlineLevel="1" collapsed="false">
      <c r="A121" s="19"/>
      <c r="B121" s="21"/>
      <c r="C121" s="21"/>
      <c r="D121" s="29"/>
      <c r="E121" s="21"/>
      <c r="F121" s="21"/>
      <c r="H121" s="29"/>
      <c r="I121" s="21"/>
      <c r="J121" s="21"/>
      <c r="K121" s="21"/>
      <c r="L121" s="21"/>
      <c r="M121" s="21"/>
      <c r="N121" s="21"/>
      <c r="O121" s="21"/>
      <c r="P121" s="21"/>
      <c r="Q121" s="29" t="s">
        <v>116</v>
      </c>
      <c r="R121" s="30" t="s">
        <v>138</v>
      </c>
      <c r="S121" s="21"/>
      <c r="T121" s="21"/>
      <c r="U121" s="21"/>
      <c r="V121" s="21"/>
      <c r="W121" s="21"/>
      <c r="X121" s="21"/>
      <c r="Y121" s="21"/>
    </row>
    <row r="122" customFormat="false" ht="15.75" hidden="false" customHeight="true" outlineLevel="1" collapsed="false">
      <c r="A122" s="19"/>
      <c r="B122" s="21"/>
      <c r="C122" s="21"/>
      <c r="D122" s="29"/>
      <c r="E122" s="21"/>
      <c r="F122" s="21"/>
      <c r="H122" s="29"/>
      <c r="I122" s="21"/>
      <c r="J122" s="21"/>
      <c r="K122" s="21"/>
      <c r="L122" s="21"/>
      <c r="M122" s="21"/>
      <c r="N122" s="21"/>
      <c r="O122" s="21"/>
      <c r="P122" s="21"/>
      <c r="Q122" s="29" t="s">
        <v>128</v>
      </c>
      <c r="R122" s="30" t="s">
        <v>139</v>
      </c>
      <c r="S122" s="21"/>
      <c r="T122" s="21"/>
      <c r="U122" s="21"/>
      <c r="V122" s="21"/>
      <c r="W122" s="21"/>
      <c r="X122" s="21"/>
      <c r="Y122" s="21"/>
    </row>
    <row r="123" customFormat="false" ht="15.75" hidden="false" customHeight="true" outlineLevel="1" collapsed="false">
      <c r="A123" s="19"/>
      <c r="B123" s="21"/>
      <c r="C123" s="21"/>
      <c r="D123" s="29"/>
      <c r="E123" s="21"/>
      <c r="F123" s="21"/>
      <c r="H123" s="29"/>
      <c r="I123" s="21"/>
      <c r="J123" s="21"/>
      <c r="K123" s="21"/>
      <c r="L123" s="21"/>
      <c r="M123" s="21"/>
      <c r="N123" s="21"/>
      <c r="O123" s="21"/>
      <c r="P123" s="21"/>
      <c r="Q123" s="29" t="s">
        <v>125</v>
      </c>
      <c r="R123" s="30" t="s">
        <v>138</v>
      </c>
      <c r="S123" s="21"/>
      <c r="T123" s="21"/>
      <c r="U123" s="21"/>
      <c r="V123" s="21"/>
      <c r="W123" s="21"/>
      <c r="X123" s="21"/>
      <c r="Y123" s="21"/>
    </row>
    <row r="124" customFormat="false" ht="15.75" hidden="false" customHeight="true" outlineLevel="1" collapsed="false">
      <c r="A124" s="19"/>
      <c r="B124" s="21"/>
      <c r="C124" s="21"/>
      <c r="D124" s="29"/>
      <c r="E124" s="21"/>
      <c r="F124" s="21"/>
      <c r="H124" s="29"/>
      <c r="I124" s="21"/>
      <c r="J124" s="21"/>
      <c r="K124" s="21"/>
      <c r="L124" s="21"/>
      <c r="M124" s="21"/>
      <c r="N124" s="21"/>
      <c r="O124" s="21"/>
      <c r="P124" s="21"/>
      <c r="Q124" s="29" t="s">
        <v>137</v>
      </c>
      <c r="R124" s="30" t="s">
        <v>139</v>
      </c>
      <c r="S124" s="21"/>
      <c r="T124" s="21"/>
      <c r="U124" s="21"/>
      <c r="V124" s="21"/>
      <c r="W124" s="21"/>
      <c r="X124" s="21"/>
      <c r="Y124" s="21"/>
    </row>
    <row r="125" customFormat="false" ht="15.75" hidden="false" customHeight="true" outlineLevel="1" collapsed="false">
      <c r="A125" s="19"/>
      <c r="B125" s="21"/>
      <c r="C125" s="21"/>
      <c r="D125" s="29"/>
      <c r="E125" s="21"/>
      <c r="F125" s="21"/>
      <c r="H125" s="29"/>
      <c r="I125" s="21"/>
      <c r="J125" s="21"/>
      <c r="K125" s="21"/>
      <c r="L125" s="21"/>
      <c r="M125" s="21"/>
      <c r="N125" s="21"/>
      <c r="O125" s="21"/>
      <c r="P125" s="21"/>
      <c r="Q125" s="29" t="s">
        <v>118</v>
      </c>
      <c r="R125" s="30" t="s">
        <v>138</v>
      </c>
      <c r="S125" s="21"/>
      <c r="T125" s="21"/>
      <c r="U125" s="21"/>
      <c r="V125" s="21"/>
      <c r="W125" s="21"/>
      <c r="X125" s="21"/>
      <c r="Y125" s="21"/>
    </row>
    <row r="126" customFormat="false" ht="15.75" hidden="false" customHeight="true" outlineLevel="1" collapsed="false">
      <c r="A126" s="19"/>
      <c r="B126" s="21"/>
      <c r="C126" s="21"/>
      <c r="D126" s="29"/>
      <c r="E126" s="21"/>
      <c r="F126" s="21"/>
      <c r="H126" s="29"/>
      <c r="I126" s="21"/>
      <c r="J126" s="21"/>
      <c r="K126" s="21"/>
      <c r="L126" s="21"/>
      <c r="M126" s="21"/>
      <c r="N126" s="21"/>
      <c r="O126" s="21"/>
      <c r="P126" s="21"/>
      <c r="Q126" s="29" t="s">
        <v>107</v>
      </c>
      <c r="R126" s="30" t="s">
        <v>139</v>
      </c>
      <c r="S126" s="21"/>
      <c r="T126" s="21"/>
      <c r="U126" s="21"/>
      <c r="V126" s="21"/>
      <c r="W126" s="21"/>
      <c r="X126" s="21"/>
      <c r="Y126" s="21"/>
    </row>
    <row r="127" customFormat="false" ht="15.75" hidden="false" customHeight="true" outlineLevel="1" collapsed="false">
      <c r="A127" s="19"/>
      <c r="B127" s="21"/>
      <c r="C127" s="21"/>
      <c r="D127" s="29"/>
      <c r="E127" s="21"/>
      <c r="F127" s="21"/>
      <c r="H127" s="29"/>
      <c r="I127" s="21"/>
      <c r="J127" s="21"/>
      <c r="K127" s="21"/>
      <c r="L127" s="21"/>
      <c r="M127" s="21"/>
      <c r="N127" s="21"/>
      <c r="O127" s="21"/>
      <c r="P127" s="21"/>
      <c r="Q127" s="29" t="s">
        <v>132</v>
      </c>
      <c r="R127" s="30" t="s">
        <v>138</v>
      </c>
      <c r="S127" s="21"/>
      <c r="T127" s="21"/>
      <c r="U127" s="21"/>
      <c r="V127" s="21"/>
      <c r="W127" s="21"/>
      <c r="X127" s="21"/>
      <c r="Y127" s="21"/>
    </row>
    <row r="128" customFormat="false" ht="15.75" hidden="false" customHeight="true" outlineLevel="1" collapsed="false">
      <c r="A128" s="19"/>
      <c r="B128" s="21"/>
      <c r="C128" s="21"/>
      <c r="D128" s="29"/>
      <c r="E128" s="21"/>
      <c r="F128" s="21"/>
      <c r="H128" s="29"/>
      <c r="I128" s="21"/>
      <c r="J128" s="21"/>
      <c r="K128" s="21"/>
      <c r="L128" s="21"/>
      <c r="M128" s="21"/>
      <c r="N128" s="21"/>
      <c r="O128" s="21"/>
      <c r="P128" s="21"/>
      <c r="Q128" s="29" t="s">
        <v>135</v>
      </c>
      <c r="R128" s="30" t="s">
        <v>139</v>
      </c>
      <c r="S128" s="21"/>
      <c r="T128" s="21"/>
      <c r="U128" s="21"/>
      <c r="V128" s="21"/>
      <c r="W128" s="21"/>
      <c r="X128" s="21"/>
      <c r="Y128" s="21"/>
    </row>
    <row r="129" customFormat="false" ht="15.75" hidden="false" customHeight="true" outlineLevel="1" collapsed="false">
      <c r="A129" s="19"/>
      <c r="B129" s="21"/>
      <c r="C129" s="21"/>
      <c r="D129" s="29"/>
      <c r="E129" s="21"/>
      <c r="F129" s="21"/>
      <c r="H129" s="29"/>
      <c r="I129" s="21"/>
      <c r="J129" s="21"/>
      <c r="K129" s="21"/>
      <c r="L129" s="21"/>
      <c r="M129" s="21"/>
      <c r="N129" s="21"/>
      <c r="O129" s="21"/>
      <c r="P129" s="21"/>
      <c r="Q129" s="29" t="s">
        <v>120</v>
      </c>
      <c r="R129" s="30" t="s">
        <v>138</v>
      </c>
      <c r="S129" s="21"/>
      <c r="T129" s="21"/>
      <c r="U129" s="21"/>
      <c r="V129" s="21"/>
      <c r="W129" s="21"/>
      <c r="X129" s="21"/>
      <c r="Y129" s="21"/>
    </row>
    <row r="130" customFormat="false" ht="15.75" hidden="false" customHeight="true" outlineLevel="1" collapsed="false">
      <c r="A130" s="19"/>
      <c r="B130" s="21"/>
      <c r="C130" s="21"/>
      <c r="D130" s="29"/>
      <c r="E130" s="21"/>
      <c r="F130" s="21"/>
      <c r="H130" s="29"/>
      <c r="I130" s="21"/>
      <c r="J130" s="21"/>
      <c r="K130" s="21"/>
      <c r="L130" s="21"/>
      <c r="M130" s="21"/>
      <c r="N130" s="21"/>
      <c r="O130" s="21"/>
      <c r="P130" s="21"/>
      <c r="Q130" s="29" t="s">
        <v>100</v>
      </c>
      <c r="R130" s="30" t="s">
        <v>139</v>
      </c>
      <c r="S130" s="21"/>
      <c r="T130" s="21"/>
      <c r="U130" s="21"/>
      <c r="V130" s="21"/>
      <c r="W130" s="21"/>
      <c r="X130" s="21"/>
      <c r="Y130" s="21"/>
    </row>
    <row r="131" customFormat="false" ht="15.75" hidden="false" customHeight="true" outlineLevel="1" collapsed="false">
      <c r="A131" s="19"/>
      <c r="B131" s="21"/>
      <c r="C131" s="21"/>
      <c r="D131" s="29"/>
      <c r="E131" s="21"/>
      <c r="F131" s="21"/>
      <c r="H131" s="29"/>
      <c r="I131" s="21"/>
      <c r="J131" s="21"/>
      <c r="K131" s="21"/>
      <c r="L131" s="21"/>
      <c r="M131" s="21"/>
      <c r="N131" s="21"/>
      <c r="O131" s="21"/>
      <c r="P131" s="21"/>
      <c r="Q131" s="29" t="s">
        <v>117</v>
      </c>
      <c r="R131" s="30" t="s">
        <v>138</v>
      </c>
      <c r="S131" s="21"/>
      <c r="T131" s="21"/>
      <c r="U131" s="21"/>
      <c r="V131" s="21"/>
      <c r="W131" s="21"/>
      <c r="X131" s="21"/>
      <c r="Y131" s="21"/>
    </row>
    <row r="132" customFormat="false" ht="15.75" hidden="false" customHeight="true" outlineLevel="1" collapsed="false">
      <c r="A132" s="19"/>
      <c r="B132" s="21"/>
      <c r="C132" s="21"/>
      <c r="D132" s="29"/>
      <c r="E132" s="21"/>
      <c r="F132" s="21"/>
      <c r="H132" s="29"/>
      <c r="I132" s="21"/>
      <c r="J132" s="21"/>
      <c r="K132" s="21"/>
      <c r="L132" s="21"/>
      <c r="M132" s="21"/>
      <c r="N132" s="21"/>
      <c r="O132" s="21"/>
      <c r="P132" s="21"/>
      <c r="Q132" s="29" t="s">
        <v>115</v>
      </c>
      <c r="R132" s="30" t="s">
        <v>139</v>
      </c>
      <c r="S132" s="21"/>
      <c r="T132" s="21"/>
      <c r="U132" s="21"/>
      <c r="V132" s="21"/>
      <c r="W132" s="21"/>
      <c r="X132" s="21"/>
      <c r="Y132" s="21"/>
    </row>
    <row r="133" customFormat="false" ht="15.75" hidden="false" customHeight="true" outlineLevel="0" collapsed="false">
      <c r="A133" s="19"/>
      <c r="B133" s="21"/>
      <c r="C133" s="21"/>
      <c r="D133" s="29"/>
      <c r="E133" s="21"/>
      <c r="F133" s="21"/>
      <c r="H133" s="29"/>
      <c r="I133" s="21"/>
      <c r="J133" s="21"/>
      <c r="K133" s="21"/>
      <c r="L133" s="21"/>
      <c r="M133" s="21"/>
      <c r="N133" s="21"/>
      <c r="O133" s="21"/>
      <c r="P133" s="21"/>
      <c r="Q133" s="29" t="s">
        <v>99</v>
      </c>
      <c r="R133" s="30" t="s">
        <v>138</v>
      </c>
      <c r="S133" s="21"/>
      <c r="T133" s="21"/>
      <c r="U133" s="21"/>
      <c r="V133" s="21"/>
      <c r="W133" s="21"/>
      <c r="X133" s="21"/>
      <c r="Y133" s="21"/>
    </row>
    <row r="134" customFormat="false" ht="15.75" hidden="false" customHeight="true" outlineLevel="0" collapsed="false">
      <c r="A134" s="19"/>
      <c r="B134" s="21"/>
      <c r="C134" s="21"/>
      <c r="D134" s="29"/>
      <c r="E134" s="21"/>
      <c r="F134" s="21"/>
      <c r="H134" s="29"/>
      <c r="I134" s="21"/>
      <c r="J134" s="21"/>
      <c r="K134" s="21"/>
      <c r="L134" s="21"/>
      <c r="M134" s="21"/>
      <c r="N134" s="21"/>
      <c r="O134" s="21"/>
      <c r="P134" s="21"/>
      <c r="Q134" s="29" t="s">
        <v>104</v>
      </c>
      <c r="R134" s="30" t="s">
        <v>139</v>
      </c>
      <c r="S134" s="21"/>
      <c r="T134" s="21"/>
      <c r="U134" s="21"/>
      <c r="V134" s="21"/>
      <c r="W134" s="21"/>
      <c r="X134" s="21"/>
      <c r="Y134" s="21"/>
    </row>
    <row r="135" customFormat="false" ht="15.75" hidden="false" customHeight="true" outlineLevel="0" collapsed="false">
      <c r="A135" s="19"/>
      <c r="B135" s="21"/>
      <c r="C135" s="21"/>
      <c r="D135" s="29"/>
      <c r="E135" s="21"/>
      <c r="F135" s="21"/>
      <c r="H135" s="29"/>
      <c r="I135" s="21"/>
      <c r="J135" s="21"/>
      <c r="K135" s="21"/>
      <c r="L135" s="21"/>
      <c r="M135" s="21"/>
      <c r="N135" s="21"/>
      <c r="O135" s="21"/>
      <c r="P135" s="21"/>
      <c r="Q135" s="29" t="s">
        <v>122</v>
      </c>
      <c r="R135" s="30" t="s">
        <v>138</v>
      </c>
      <c r="S135" s="21"/>
      <c r="T135" s="21"/>
      <c r="U135" s="21"/>
      <c r="V135" s="21"/>
      <c r="W135" s="21"/>
      <c r="X135" s="21"/>
      <c r="Y135" s="21"/>
    </row>
    <row r="136" customFormat="false" ht="15.75" hidden="false" customHeight="true" outlineLevel="0" collapsed="false">
      <c r="A136" s="19"/>
      <c r="B136" s="21"/>
      <c r="C136" s="21"/>
      <c r="D136" s="29"/>
      <c r="E136" s="21"/>
      <c r="F136" s="21"/>
      <c r="H136" s="29"/>
      <c r="I136" s="21"/>
      <c r="J136" s="21"/>
      <c r="K136" s="21"/>
      <c r="L136" s="21"/>
      <c r="M136" s="21"/>
      <c r="N136" s="21"/>
      <c r="O136" s="21"/>
      <c r="P136" s="21"/>
      <c r="Q136" s="29" t="s">
        <v>98</v>
      </c>
      <c r="R136" s="30" t="s">
        <v>139</v>
      </c>
      <c r="S136" s="21"/>
      <c r="T136" s="21"/>
      <c r="U136" s="21"/>
      <c r="V136" s="21"/>
      <c r="W136" s="21"/>
      <c r="X136" s="21"/>
      <c r="Y136" s="21"/>
    </row>
    <row r="137" customFormat="false" ht="15.75" hidden="false" customHeight="true" outlineLevel="0" collapsed="false">
      <c r="A137" s="19"/>
      <c r="B137" s="21"/>
      <c r="C137" s="21"/>
      <c r="D137" s="29"/>
      <c r="E137" s="21"/>
      <c r="F137" s="21"/>
      <c r="H137" s="29"/>
      <c r="I137" s="21"/>
      <c r="J137" s="21"/>
      <c r="K137" s="21"/>
      <c r="L137" s="21"/>
      <c r="M137" s="21"/>
      <c r="N137" s="21"/>
      <c r="O137" s="21"/>
      <c r="P137" s="21"/>
      <c r="Q137" s="29" t="s">
        <v>123</v>
      </c>
      <c r="R137" s="30" t="s">
        <v>138</v>
      </c>
      <c r="S137" s="21"/>
      <c r="T137" s="21"/>
      <c r="U137" s="21"/>
      <c r="V137" s="21"/>
      <c r="W137" s="21"/>
      <c r="X137" s="21"/>
      <c r="Y137" s="21"/>
    </row>
    <row r="138" customFormat="false" ht="15.75" hidden="false" customHeight="true" outlineLevel="0" collapsed="false">
      <c r="A138" s="19"/>
      <c r="B138" s="21"/>
      <c r="C138" s="21"/>
      <c r="D138" s="29"/>
      <c r="E138" s="21"/>
      <c r="F138" s="21"/>
      <c r="H138" s="29"/>
      <c r="I138" s="21"/>
      <c r="J138" s="21"/>
      <c r="K138" s="21"/>
      <c r="L138" s="21"/>
      <c r="M138" s="21"/>
      <c r="N138" s="21"/>
      <c r="O138" s="21"/>
      <c r="P138" s="21"/>
      <c r="Q138" s="29" t="s">
        <v>112</v>
      </c>
      <c r="R138" s="30" t="s">
        <v>139</v>
      </c>
      <c r="S138" s="21"/>
      <c r="T138" s="21"/>
      <c r="U138" s="21"/>
      <c r="V138" s="21"/>
      <c r="W138" s="21"/>
      <c r="X138" s="21"/>
      <c r="Y138" s="21"/>
    </row>
    <row r="139" customFormat="false" ht="15.75" hidden="false" customHeight="true" outlineLevel="0" collapsed="false">
      <c r="A139" s="19"/>
      <c r="B139" s="21"/>
      <c r="C139" s="21"/>
      <c r="D139" s="29"/>
      <c r="E139" s="21"/>
      <c r="F139" s="21"/>
      <c r="H139" s="29"/>
      <c r="I139" s="21"/>
      <c r="J139" s="21"/>
      <c r="K139" s="21"/>
      <c r="L139" s="21"/>
      <c r="M139" s="21"/>
      <c r="N139" s="21"/>
      <c r="O139" s="21"/>
      <c r="P139" s="21"/>
      <c r="Q139" s="29" t="s">
        <v>110</v>
      </c>
      <c r="R139" s="30" t="s">
        <v>138</v>
      </c>
      <c r="S139" s="21"/>
      <c r="T139" s="21"/>
      <c r="U139" s="21"/>
      <c r="V139" s="21"/>
      <c r="W139" s="21"/>
      <c r="X139" s="21"/>
      <c r="Y139" s="21"/>
    </row>
    <row r="140" customFormat="false" ht="15.75" hidden="false" customHeight="true" outlineLevel="0" collapsed="false">
      <c r="A140" s="19"/>
      <c r="B140" s="21"/>
      <c r="C140" s="21"/>
      <c r="D140" s="29"/>
      <c r="E140" s="21"/>
      <c r="F140" s="21"/>
      <c r="H140" s="29"/>
      <c r="I140" s="21"/>
      <c r="J140" s="21"/>
      <c r="K140" s="21"/>
      <c r="L140" s="21"/>
      <c r="M140" s="21"/>
      <c r="N140" s="21"/>
      <c r="O140" s="21"/>
      <c r="P140" s="21"/>
      <c r="Q140" s="29" t="s">
        <v>136</v>
      </c>
      <c r="R140" s="30" t="s">
        <v>139</v>
      </c>
      <c r="S140" s="21"/>
      <c r="T140" s="21"/>
      <c r="U140" s="21"/>
      <c r="V140" s="21"/>
      <c r="W140" s="21"/>
      <c r="X140" s="21"/>
      <c r="Y140" s="21"/>
    </row>
    <row r="141" customFormat="false" ht="15.75" hidden="false" customHeight="true" outlineLevel="0" collapsed="false">
      <c r="A141" s="19"/>
      <c r="B141" s="21"/>
      <c r="C141" s="21"/>
      <c r="D141" s="29"/>
      <c r="E141" s="6"/>
      <c r="F141" s="21"/>
      <c r="H141" s="29"/>
      <c r="I141" s="21"/>
      <c r="J141" s="21"/>
      <c r="K141" s="21"/>
      <c r="L141" s="21"/>
      <c r="M141" s="21"/>
      <c r="N141" s="21"/>
      <c r="O141" s="21"/>
      <c r="P141" s="21"/>
      <c r="Q141" s="29" t="s">
        <v>111</v>
      </c>
      <c r="R141" s="30" t="s">
        <v>138</v>
      </c>
      <c r="S141" s="21"/>
      <c r="T141" s="21"/>
      <c r="U141" s="21"/>
      <c r="V141" s="21"/>
      <c r="W141" s="21"/>
      <c r="X141" s="21"/>
      <c r="Y141" s="21"/>
    </row>
    <row r="142" customFormat="false" ht="15.75" hidden="false" customHeight="true" outlineLevel="0" collapsed="false">
      <c r="A142" s="19"/>
      <c r="B142" s="21"/>
      <c r="C142" s="21"/>
      <c r="D142" s="29"/>
      <c r="E142" s="6"/>
      <c r="F142" s="21"/>
      <c r="H142" s="29"/>
      <c r="I142" s="21"/>
      <c r="J142" s="21"/>
      <c r="K142" s="21"/>
      <c r="L142" s="21"/>
      <c r="M142" s="21"/>
      <c r="N142" s="21"/>
      <c r="O142" s="21"/>
      <c r="P142" s="21"/>
      <c r="Q142" s="29" t="s">
        <v>97</v>
      </c>
      <c r="R142" s="30" t="s">
        <v>139</v>
      </c>
      <c r="S142" s="21"/>
      <c r="T142" s="21"/>
      <c r="U142" s="21"/>
      <c r="V142" s="21"/>
      <c r="W142" s="21"/>
      <c r="X142" s="21"/>
      <c r="Y142" s="21"/>
    </row>
    <row r="143" customFormat="false" ht="15.75" hidden="false" customHeight="true" outlineLevel="0" collapsed="false">
      <c r="A143" s="19"/>
      <c r="B143" s="21"/>
      <c r="C143" s="21"/>
      <c r="D143" s="29"/>
      <c r="E143" s="6"/>
      <c r="F143" s="21"/>
      <c r="H143" s="29"/>
      <c r="I143" s="21"/>
      <c r="J143" s="21"/>
      <c r="K143" s="21"/>
      <c r="L143" s="21"/>
      <c r="M143" s="21"/>
      <c r="N143" s="21"/>
      <c r="O143" s="21"/>
      <c r="P143" s="21"/>
      <c r="Q143" s="29" t="s">
        <v>131</v>
      </c>
      <c r="R143" s="30" t="s">
        <v>138</v>
      </c>
      <c r="S143" s="21"/>
      <c r="T143" s="21"/>
      <c r="U143" s="21"/>
      <c r="V143" s="21"/>
      <c r="W143" s="21"/>
      <c r="X143" s="21"/>
      <c r="Y143" s="21"/>
    </row>
    <row r="144" customFormat="false" ht="15.75" hidden="false" customHeight="true" outlineLevel="0" collapsed="false">
      <c r="A144" s="19"/>
      <c r="B144" s="21"/>
      <c r="C144" s="21"/>
      <c r="D144" s="29"/>
      <c r="E144" s="6"/>
      <c r="F144" s="21"/>
      <c r="H144" s="29"/>
      <c r="I144" s="21"/>
      <c r="J144" s="21"/>
      <c r="K144" s="21"/>
      <c r="L144" s="21"/>
      <c r="M144" s="21"/>
      <c r="N144" s="21"/>
      <c r="O144" s="21"/>
      <c r="P144" s="21"/>
      <c r="Q144" s="29" t="s">
        <v>129</v>
      </c>
      <c r="R144" s="30" t="s">
        <v>139</v>
      </c>
      <c r="S144" s="21"/>
      <c r="T144" s="21"/>
      <c r="U144" s="21"/>
      <c r="V144" s="21"/>
      <c r="W144" s="21"/>
      <c r="X144" s="21"/>
      <c r="Y144" s="21"/>
    </row>
    <row r="145" customFormat="false" ht="15.75" hidden="false" customHeight="true" outlineLevel="0" collapsed="false">
      <c r="A145" s="19"/>
      <c r="B145" s="21"/>
      <c r="C145" s="21"/>
      <c r="D145" s="29"/>
      <c r="E145" s="6"/>
      <c r="F145" s="21"/>
      <c r="H145" s="29"/>
      <c r="I145" s="21"/>
      <c r="J145" s="21"/>
      <c r="K145" s="21"/>
      <c r="L145" s="21"/>
      <c r="M145" s="21"/>
      <c r="N145" s="21"/>
      <c r="O145" s="21"/>
      <c r="P145" s="21"/>
      <c r="Q145" s="29" t="s">
        <v>108</v>
      </c>
      <c r="R145" s="30" t="s">
        <v>138</v>
      </c>
      <c r="S145" s="21"/>
      <c r="T145" s="21"/>
      <c r="U145" s="21"/>
      <c r="V145" s="21"/>
      <c r="W145" s="21"/>
      <c r="X145" s="21"/>
      <c r="Y145" s="21"/>
    </row>
    <row r="146" customFormat="false" ht="15.75" hidden="false" customHeight="true" outlineLevel="0" collapsed="false">
      <c r="A146" s="19"/>
      <c r="B146" s="21"/>
      <c r="C146" s="21"/>
      <c r="D146" s="29"/>
      <c r="E146" s="6"/>
      <c r="F146" s="21"/>
      <c r="H146" s="29"/>
      <c r="I146" s="21"/>
      <c r="J146" s="21"/>
      <c r="K146" s="21"/>
      <c r="L146" s="21"/>
      <c r="M146" s="21"/>
      <c r="N146" s="21"/>
      <c r="O146" s="21"/>
      <c r="P146" s="21"/>
      <c r="Q146" s="29" t="s">
        <v>114</v>
      </c>
      <c r="R146" s="30" t="s">
        <v>139</v>
      </c>
      <c r="S146" s="21"/>
      <c r="T146" s="21"/>
      <c r="U146" s="21"/>
      <c r="V146" s="21"/>
      <c r="W146" s="21"/>
      <c r="X146" s="21"/>
      <c r="Y146" s="21"/>
    </row>
    <row r="147" customFormat="false" ht="15.75" hidden="false" customHeight="true" outlineLevel="0" collapsed="false">
      <c r="A147" s="19"/>
      <c r="B147" s="21"/>
      <c r="C147" s="21"/>
      <c r="D147" s="29"/>
      <c r="E147" s="6"/>
      <c r="F147" s="21"/>
      <c r="H147" s="29"/>
      <c r="I147" s="21"/>
      <c r="J147" s="21"/>
      <c r="K147" s="21"/>
      <c r="L147" s="21"/>
      <c r="M147" s="21"/>
      <c r="N147" s="21"/>
      <c r="O147" s="21"/>
      <c r="P147" s="21"/>
      <c r="Q147" s="29" t="s">
        <v>133</v>
      </c>
      <c r="R147" s="30" t="s">
        <v>138</v>
      </c>
      <c r="S147" s="21"/>
      <c r="T147" s="21"/>
      <c r="U147" s="21"/>
      <c r="V147" s="21"/>
      <c r="W147" s="21"/>
      <c r="X147" s="21"/>
      <c r="Y147" s="21"/>
    </row>
    <row r="148" customFormat="false" ht="15.75" hidden="false" customHeight="true" outlineLevel="0" collapsed="false">
      <c r="A148" s="19"/>
      <c r="B148" s="21"/>
      <c r="C148" s="21"/>
      <c r="D148" s="29"/>
      <c r="E148" s="6"/>
      <c r="F148" s="21"/>
      <c r="H148" s="29"/>
      <c r="I148" s="21"/>
      <c r="J148" s="21"/>
      <c r="K148" s="21"/>
      <c r="L148" s="21"/>
      <c r="M148" s="21"/>
      <c r="N148" s="21"/>
      <c r="O148" s="21"/>
      <c r="P148" s="21"/>
      <c r="Q148" s="29" t="s">
        <v>93</v>
      </c>
      <c r="R148" s="30" t="s">
        <v>139</v>
      </c>
      <c r="S148" s="21"/>
      <c r="T148" s="21"/>
      <c r="U148" s="21"/>
      <c r="V148" s="21"/>
      <c r="W148" s="21"/>
      <c r="X148" s="21"/>
      <c r="Y148" s="21"/>
    </row>
    <row r="149" customFormat="false" ht="15.75" hidden="false" customHeight="true" outlineLevel="0" collapsed="false">
      <c r="A149" s="19"/>
      <c r="B149" s="21"/>
      <c r="C149" s="21"/>
      <c r="D149" s="29"/>
      <c r="E149" s="6"/>
      <c r="F149" s="21"/>
      <c r="H149" s="29"/>
      <c r="I149" s="21"/>
      <c r="J149" s="21"/>
      <c r="K149" s="21"/>
      <c r="L149" s="21"/>
      <c r="M149" s="21"/>
      <c r="N149" s="21"/>
      <c r="O149" s="21"/>
      <c r="P149" s="21"/>
      <c r="Q149" s="29" t="s">
        <v>124</v>
      </c>
      <c r="R149" s="30" t="s">
        <v>138</v>
      </c>
      <c r="S149" s="21"/>
      <c r="T149" s="21"/>
      <c r="U149" s="21"/>
      <c r="V149" s="21"/>
      <c r="W149" s="21"/>
      <c r="X149" s="21"/>
      <c r="Y149" s="21"/>
    </row>
    <row r="150" customFormat="false" ht="15.75" hidden="false" customHeight="true" outlineLevel="0" collapsed="false">
      <c r="A150" s="19"/>
      <c r="B150" s="21"/>
      <c r="C150" s="21"/>
      <c r="D150" s="29"/>
      <c r="E150" s="6"/>
      <c r="F150" s="21"/>
      <c r="H150" s="29"/>
      <c r="I150" s="21"/>
      <c r="J150" s="21"/>
      <c r="K150" s="21"/>
      <c r="L150" s="21"/>
      <c r="M150" s="21"/>
      <c r="N150" s="21"/>
      <c r="O150" s="21"/>
      <c r="P150" s="21"/>
      <c r="Q150" s="29" t="s">
        <v>103</v>
      </c>
      <c r="R150" s="30" t="s">
        <v>139</v>
      </c>
      <c r="S150" s="21"/>
      <c r="T150" s="21"/>
      <c r="U150" s="21"/>
      <c r="V150" s="21"/>
      <c r="W150" s="21"/>
      <c r="X150" s="21"/>
      <c r="Y150" s="21"/>
    </row>
    <row r="151" customFormat="false" ht="15.75" hidden="false" customHeight="true" outlineLevel="0" collapsed="false">
      <c r="A151" s="19"/>
      <c r="B151" s="21"/>
      <c r="C151" s="21"/>
      <c r="D151" s="29"/>
      <c r="E151" s="6"/>
      <c r="F151" s="21"/>
      <c r="H151" s="29"/>
      <c r="I151" s="21"/>
      <c r="J151" s="21"/>
      <c r="K151" s="21"/>
      <c r="L151" s="21"/>
      <c r="M151" s="21"/>
      <c r="N151" s="21"/>
      <c r="O151" s="21"/>
      <c r="P151" s="21"/>
      <c r="Q151" s="29" t="s">
        <v>121</v>
      </c>
      <c r="R151" s="30" t="s">
        <v>138</v>
      </c>
      <c r="S151" s="21"/>
      <c r="T151" s="21"/>
      <c r="U151" s="21"/>
      <c r="V151" s="21"/>
      <c r="W151" s="21"/>
      <c r="X151" s="21"/>
      <c r="Y151" s="21"/>
    </row>
    <row r="152" customFormat="false" ht="15.75" hidden="false" customHeight="true" outlineLevel="0" collapsed="false">
      <c r="A152" s="19"/>
      <c r="B152" s="21"/>
      <c r="C152" s="21"/>
      <c r="D152" s="29"/>
      <c r="E152" s="6"/>
      <c r="F152" s="21"/>
      <c r="H152" s="29"/>
      <c r="I152" s="21"/>
      <c r="J152" s="21"/>
      <c r="K152" s="21"/>
      <c r="L152" s="21"/>
      <c r="M152" s="21"/>
      <c r="N152" s="21"/>
      <c r="O152" s="21"/>
      <c r="P152" s="21"/>
      <c r="Q152" s="29" t="s">
        <v>119</v>
      </c>
      <c r="R152" s="30" t="s">
        <v>139</v>
      </c>
      <c r="S152" s="21"/>
      <c r="T152" s="21"/>
      <c r="U152" s="21"/>
      <c r="V152" s="21"/>
      <c r="W152" s="21"/>
      <c r="X152" s="21"/>
      <c r="Y152" s="21"/>
    </row>
    <row r="153" customFormat="false" ht="15.75" hidden="false" customHeight="true" outlineLevel="0" collapsed="false">
      <c r="A153" s="19"/>
      <c r="B153" s="21"/>
      <c r="C153" s="21"/>
      <c r="D153" s="29"/>
      <c r="E153" s="6"/>
      <c r="F153" s="21"/>
      <c r="H153" s="29"/>
      <c r="I153" s="21"/>
      <c r="J153" s="21"/>
      <c r="K153" s="21"/>
      <c r="L153" s="21"/>
      <c r="M153" s="21"/>
      <c r="N153" s="21"/>
      <c r="O153" s="21"/>
      <c r="P153" s="21"/>
      <c r="Q153" s="29" t="s">
        <v>134</v>
      </c>
      <c r="R153" s="30" t="s">
        <v>138</v>
      </c>
      <c r="S153" s="21"/>
      <c r="T153" s="21"/>
      <c r="U153" s="21"/>
      <c r="V153" s="21"/>
      <c r="W153" s="21"/>
      <c r="X153" s="21"/>
      <c r="Y153" s="21"/>
    </row>
    <row r="154" customFormat="false" ht="15.75" hidden="false" customHeight="true" outlineLevel="0" collapsed="false">
      <c r="A154" s="19"/>
      <c r="B154" s="21"/>
      <c r="C154" s="21"/>
      <c r="D154" s="29"/>
      <c r="E154" s="6"/>
      <c r="F154" s="21"/>
      <c r="H154" s="29"/>
      <c r="I154" s="21"/>
      <c r="J154" s="21"/>
      <c r="K154" s="21"/>
      <c r="L154" s="21"/>
      <c r="M154" s="21"/>
      <c r="N154" s="21"/>
      <c r="O154" s="21"/>
      <c r="P154" s="21"/>
      <c r="Q154" s="29" t="s">
        <v>94</v>
      </c>
      <c r="R154" s="30" t="s">
        <v>139</v>
      </c>
      <c r="S154" s="21"/>
      <c r="T154" s="21"/>
      <c r="U154" s="21"/>
      <c r="V154" s="21"/>
      <c r="W154" s="21"/>
      <c r="X154" s="21"/>
      <c r="Y154" s="21"/>
    </row>
    <row r="155" customFormat="false" ht="15.75" hidden="false" customHeight="true" outlineLevel="0" collapsed="false">
      <c r="A155" s="19"/>
      <c r="B155" s="21"/>
      <c r="C155" s="21"/>
      <c r="D155" s="29"/>
      <c r="E155" s="6"/>
      <c r="F155" s="21"/>
      <c r="H155" s="29"/>
      <c r="I155" s="21"/>
      <c r="J155" s="21"/>
      <c r="K155" s="21"/>
      <c r="L155" s="21"/>
      <c r="M155" s="21"/>
      <c r="N155" s="21"/>
      <c r="O155" s="21"/>
      <c r="P155" s="21"/>
      <c r="Q155" s="29" t="s">
        <v>102</v>
      </c>
      <c r="R155" s="30" t="s">
        <v>138</v>
      </c>
      <c r="S155" s="21"/>
      <c r="T155" s="21"/>
      <c r="U155" s="21"/>
      <c r="V155" s="21"/>
      <c r="W155" s="21"/>
      <c r="X155" s="21"/>
      <c r="Y155" s="21"/>
    </row>
    <row r="156" customFormat="false" ht="15.75" hidden="false" customHeight="true" outlineLevel="0" collapsed="false">
      <c r="A156" s="19"/>
      <c r="B156" s="21"/>
      <c r="C156" s="21"/>
      <c r="D156" s="29"/>
      <c r="E156" s="6"/>
      <c r="F156" s="21"/>
      <c r="H156" s="29"/>
      <c r="I156" s="21"/>
      <c r="J156" s="21"/>
      <c r="K156" s="21"/>
      <c r="L156" s="21"/>
      <c r="M156" s="21"/>
      <c r="N156" s="21"/>
      <c r="O156" s="21"/>
      <c r="P156" s="21"/>
      <c r="Q156" s="29" t="s">
        <v>96</v>
      </c>
      <c r="R156" s="30" t="s">
        <v>139</v>
      </c>
      <c r="S156" s="21"/>
      <c r="T156" s="21"/>
      <c r="U156" s="21"/>
      <c r="V156" s="21"/>
      <c r="W156" s="21"/>
      <c r="X156" s="21"/>
      <c r="Y156" s="21"/>
    </row>
    <row r="157" customFormat="false" ht="15.75" hidden="false" customHeight="true" outlineLevel="0" collapsed="false">
      <c r="A157" s="19"/>
      <c r="B157" s="21"/>
      <c r="C157" s="21"/>
      <c r="D157" s="29"/>
      <c r="E157" s="6"/>
      <c r="F157" s="21"/>
      <c r="H157" s="29"/>
      <c r="I157" s="21"/>
      <c r="J157" s="21"/>
      <c r="K157" s="21"/>
      <c r="L157" s="21"/>
      <c r="M157" s="21"/>
      <c r="N157" s="21"/>
      <c r="O157" s="21"/>
      <c r="P157" s="21"/>
      <c r="Q157" s="29" t="s">
        <v>127</v>
      </c>
      <c r="R157" s="30" t="s">
        <v>138</v>
      </c>
      <c r="S157" s="21"/>
      <c r="T157" s="21"/>
      <c r="U157" s="21"/>
      <c r="V157" s="21"/>
      <c r="W157" s="21"/>
      <c r="X157" s="21"/>
      <c r="Y157" s="21"/>
    </row>
    <row r="158" customFormat="false" ht="15.75" hidden="false" customHeight="true" outlineLevel="0" collapsed="false">
      <c r="A158" s="19"/>
      <c r="B158" s="21"/>
      <c r="C158" s="21"/>
      <c r="D158" s="29"/>
      <c r="E158" s="6"/>
      <c r="F158" s="21"/>
      <c r="H158" s="29"/>
      <c r="I158" s="21"/>
      <c r="J158" s="21"/>
      <c r="K158" s="21"/>
      <c r="L158" s="21"/>
      <c r="M158" s="21"/>
      <c r="N158" s="21"/>
      <c r="O158" s="21"/>
      <c r="P158" s="21"/>
      <c r="Q158" s="29" t="s">
        <v>105</v>
      </c>
      <c r="R158" s="30" t="s">
        <v>139</v>
      </c>
      <c r="S158" s="21"/>
      <c r="T158" s="21"/>
      <c r="U158" s="21"/>
      <c r="V158" s="21"/>
      <c r="W158" s="21"/>
      <c r="X158" s="21"/>
      <c r="Y158" s="21"/>
    </row>
    <row r="159" customFormat="false" ht="15.75" hidden="false" customHeight="true" outlineLevel="0" collapsed="false">
      <c r="A159" s="19"/>
      <c r="B159" s="21"/>
      <c r="C159" s="21"/>
      <c r="D159" s="29"/>
      <c r="E159" s="6"/>
      <c r="F159" s="21"/>
      <c r="H159" s="29"/>
      <c r="I159" s="21"/>
      <c r="J159" s="21"/>
      <c r="K159" s="21"/>
      <c r="L159" s="21"/>
      <c r="M159" s="21"/>
      <c r="N159" s="21"/>
      <c r="O159" s="21"/>
      <c r="P159" s="21"/>
      <c r="Q159" s="29" t="s">
        <v>106</v>
      </c>
      <c r="R159" s="30" t="s">
        <v>138</v>
      </c>
      <c r="S159" s="21"/>
      <c r="T159" s="21"/>
      <c r="U159" s="21"/>
      <c r="V159" s="21"/>
      <c r="W159" s="21"/>
      <c r="X159" s="21"/>
      <c r="Y159" s="21"/>
    </row>
    <row r="160" customFormat="false" ht="15.75" hidden="false" customHeight="true" outlineLevel="0" collapsed="false">
      <c r="A160" s="19"/>
      <c r="B160" s="21"/>
      <c r="C160" s="21"/>
      <c r="D160" s="29"/>
      <c r="E160" s="6"/>
      <c r="F160" s="21"/>
      <c r="H160" s="29"/>
      <c r="I160" s="21"/>
      <c r="J160" s="21"/>
      <c r="K160" s="21"/>
      <c r="L160" s="21"/>
      <c r="M160" s="21"/>
      <c r="N160" s="21"/>
      <c r="O160" s="21"/>
      <c r="P160" s="21"/>
      <c r="Q160" s="29" t="s">
        <v>109</v>
      </c>
      <c r="R160" s="30" t="s">
        <v>139</v>
      </c>
      <c r="S160" s="21"/>
      <c r="T160" s="21"/>
      <c r="U160" s="21"/>
      <c r="V160" s="21"/>
      <c r="W160" s="21"/>
      <c r="X160" s="21"/>
      <c r="Y160" s="21"/>
    </row>
    <row r="161" customFormat="false" ht="15.75" hidden="false" customHeight="true" outlineLevel="0" collapsed="false">
      <c r="A161" s="19"/>
      <c r="B161" s="21"/>
      <c r="C161" s="21"/>
      <c r="D161" s="29"/>
      <c r="E161" s="6"/>
      <c r="F161" s="21"/>
      <c r="H161" s="29"/>
      <c r="I161" s="21"/>
      <c r="J161" s="21"/>
      <c r="K161" s="21"/>
      <c r="L161" s="21"/>
      <c r="M161" s="21"/>
      <c r="N161" s="21"/>
      <c r="O161" s="21"/>
      <c r="P161" s="21"/>
      <c r="Q161" s="29" t="s">
        <v>113</v>
      </c>
      <c r="R161" s="30" t="s">
        <v>138</v>
      </c>
      <c r="S161" s="21"/>
      <c r="T161" s="21"/>
      <c r="U161" s="21"/>
      <c r="V161" s="21"/>
      <c r="W161" s="21"/>
      <c r="X161" s="21"/>
      <c r="Y161" s="21"/>
    </row>
    <row r="162" customFormat="false" ht="15.75" hidden="false" customHeight="true" outlineLevel="0" collapsed="false">
      <c r="A162" s="19"/>
      <c r="B162" s="21"/>
      <c r="C162" s="21"/>
      <c r="D162" s="29"/>
      <c r="E162" s="6"/>
      <c r="F162" s="21"/>
      <c r="H162" s="29"/>
      <c r="I162" s="21"/>
      <c r="J162" s="21"/>
      <c r="K162" s="21"/>
      <c r="L162" s="21"/>
      <c r="M162" s="21"/>
      <c r="N162" s="21"/>
      <c r="O162" s="21"/>
      <c r="P162" s="21"/>
      <c r="Q162" s="29" t="s">
        <v>95</v>
      </c>
      <c r="R162" s="30" t="s">
        <v>139</v>
      </c>
      <c r="S162" s="21"/>
      <c r="T162" s="21"/>
      <c r="U162" s="21"/>
      <c r="V162" s="21"/>
      <c r="W162" s="21"/>
      <c r="X162" s="21"/>
      <c r="Y162" s="21"/>
    </row>
    <row r="163" customFormat="false" ht="15.75" hidden="false" customHeight="true" outlineLevel="0" collapsed="false">
      <c r="A163" s="19"/>
      <c r="B163" s="21"/>
      <c r="C163" s="21"/>
      <c r="D163" s="29"/>
      <c r="E163" s="6"/>
      <c r="F163" s="21"/>
      <c r="H163" s="29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customFormat="false" ht="15.75" hidden="false" customHeight="true" outlineLevel="0" collapsed="false">
      <c r="A164" s="19"/>
      <c r="B164" s="21"/>
      <c r="C164" s="21"/>
      <c r="D164" s="29"/>
      <c r="E164" s="6"/>
      <c r="F164" s="21"/>
      <c r="H164" s="29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customFormat="false" ht="15.75" hidden="false" customHeight="true" outlineLevel="0" collapsed="false">
      <c r="A165" s="19"/>
      <c r="B165" s="21"/>
      <c r="C165" s="21"/>
      <c r="D165" s="29"/>
      <c r="E165" s="6"/>
      <c r="F165" s="21"/>
      <c r="H165" s="29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customFormat="false" ht="15.75" hidden="false" customHeight="true" outlineLevel="0" collapsed="false">
      <c r="A166" s="19"/>
      <c r="B166" s="21"/>
      <c r="C166" s="21"/>
      <c r="D166" s="29"/>
      <c r="E166" s="6"/>
      <c r="F166" s="21"/>
      <c r="H166" s="29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customFormat="false" ht="15.75" hidden="false" customHeight="true" outlineLevel="0" collapsed="false">
      <c r="A167" s="19"/>
      <c r="B167" s="21"/>
      <c r="C167" s="21"/>
      <c r="D167" s="29"/>
      <c r="E167" s="6"/>
      <c r="F167" s="21"/>
      <c r="H167" s="29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customFormat="false" ht="15.75" hidden="false" customHeight="true" outlineLevel="0" collapsed="false">
      <c r="A168" s="19"/>
      <c r="B168" s="21"/>
      <c r="C168" s="21"/>
      <c r="D168" s="29"/>
      <c r="E168" s="6"/>
      <c r="F168" s="21"/>
      <c r="H168" s="29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customFormat="false" ht="15.75" hidden="false" customHeight="true" outlineLevel="0" collapsed="false">
      <c r="A169" s="19"/>
      <c r="B169" s="21"/>
      <c r="C169" s="21"/>
      <c r="D169" s="29"/>
      <c r="E169" s="6"/>
      <c r="F169" s="21"/>
      <c r="H169" s="29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customFormat="false" ht="15.75" hidden="false" customHeight="true" outlineLevel="0" collapsed="false">
      <c r="A170" s="19"/>
      <c r="B170" s="21"/>
      <c r="C170" s="21"/>
      <c r="D170" s="29"/>
      <c r="E170" s="6"/>
      <c r="F170" s="21"/>
      <c r="H170" s="29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customFormat="false" ht="15.75" hidden="false" customHeight="true" outlineLevel="0" collapsed="false">
      <c r="A171" s="19"/>
      <c r="B171" s="21"/>
      <c r="C171" s="21"/>
      <c r="D171" s="29"/>
      <c r="E171" s="6"/>
      <c r="F171" s="21"/>
      <c r="H171" s="29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customFormat="false" ht="15.75" hidden="false" customHeight="true" outlineLevel="0" collapsed="false">
      <c r="A172" s="19"/>
      <c r="B172" s="21"/>
      <c r="C172" s="21"/>
      <c r="D172" s="29"/>
      <c r="E172" s="6"/>
      <c r="F172" s="21"/>
      <c r="H172" s="29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customFormat="false" ht="15.75" hidden="false" customHeight="true" outlineLevel="0" collapsed="false">
      <c r="A173" s="19"/>
      <c r="B173" s="21"/>
      <c r="C173" s="21"/>
      <c r="D173" s="29"/>
      <c r="E173" s="6"/>
      <c r="F173" s="21"/>
      <c r="H173" s="29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customFormat="false" ht="15.75" hidden="false" customHeight="true" outlineLevel="0" collapsed="false">
      <c r="A174" s="19"/>
      <c r="B174" s="21"/>
      <c r="C174" s="21"/>
      <c r="D174" s="29"/>
      <c r="E174" s="6"/>
      <c r="F174" s="21"/>
      <c r="H174" s="29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customFormat="false" ht="15.75" hidden="false" customHeight="true" outlineLevel="0" collapsed="false">
      <c r="A175" s="19"/>
      <c r="B175" s="21"/>
      <c r="C175" s="21"/>
      <c r="D175" s="29"/>
      <c r="E175" s="6"/>
      <c r="F175" s="21"/>
      <c r="G175" s="21"/>
      <c r="H175" s="29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customFormat="false" ht="15.75" hidden="false" customHeight="true" outlineLevel="0" collapsed="false">
      <c r="A176" s="19"/>
      <c r="B176" s="21"/>
      <c r="C176" s="21"/>
      <c r="D176" s="29"/>
      <c r="E176" s="6"/>
      <c r="F176" s="21"/>
      <c r="G176" s="21"/>
      <c r="H176" s="29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customFormat="false" ht="15.75" hidden="false" customHeight="true" outlineLevel="0" collapsed="false">
      <c r="A177" s="19"/>
      <c r="B177" s="21"/>
      <c r="C177" s="21"/>
      <c r="D177" s="29"/>
      <c r="E177" s="6"/>
      <c r="F177" s="21"/>
      <c r="G177" s="21"/>
      <c r="H177" s="29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customFormat="false" ht="15.75" hidden="false" customHeight="true" outlineLevel="0" collapsed="false">
      <c r="A178" s="19"/>
      <c r="B178" s="21"/>
      <c r="C178" s="21"/>
      <c r="D178" s="29"/>
      <c r="E178" s="6"/>
      <c r="F178" s="21"/>
      <c r="G178" s="21"/>
      <c r="H178" s="29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customFormat="false" ht="15.75" hidden="false" customHeight="true" outlineLevel="0" collapsed="false">
      <c r="A179" s="19"/>
      <c r="B179" s="21"/>
      <c r="C179" s="21"/>
      <c r="D179" s="29"/>
      <c r="E179" s="6"/>
      <c r="F179" s="21"/>
      <c r="G179" s="21"/>
      <c r="H179" s="29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customFormat="false" ht="15.75" hidden="false" customHeight="true" outlineLevel="0" collapsed="false">
      <c r="A180" s="19"/>
      <c r="B180" s="21"/>
      <c r="C180" s="21"/>
      <c r="D180" s="29"/>
      <c r="E180" s="6"/>
      <c r="F180" s="21"/>
      <c r="G180" s="21"/>
      <c r="H180" s="29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customFormat="false" ht="15.75" hidden="false" customHeight="true" outlineLevel="0" collapsed="false">
      <c r="A181" s="19"/>
      <c r="B181" s="21"/>
      <c r="C181" s="21"/>
      <c r="D181" s="29"/>
      <c r="E181" s="6"/>
      <c r="F181" s="21"/>
      <c r="G181" s="21"/>
      <c r="H181" s="29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customFormat="false" ht="15.75" hidden="false" customHeight="true" outlineLevel="0" collapsed="false">
      <c r="A182" s="19"/>
      <c r="B182" s="21"/>
      <c r="C182" s="21"/>
      <c r="D182" s="29"/>
      <c r="E182" s="6"/>
      <c r="F182" s="21"/>
      <c r="G182" s="21"/>
      <c r="H182" s="29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customFormat="false" ht="15.75" hidden="false" customHeight="true" outlineLevel="0" collapsed="false">
      <c r="A183" s="19"/>
      <c r="B183" s="21"/>
      <c r="C183" s="21"/>
      <c r="D183" s="29"/>
      <c r="E183" s="6"/>
      <c r="F183" s="21"/>
      <c r="G183" s="21"/>
      <c r="H183" s="29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customFormat="false" ht="15.75" hidden="false" customHeight="true" outlineLevel="0" collapsed="false">
      <c r="A184" s="19"/>
      <c r="B184" s="21"/>
      <c r="C184" s="21"/>
      <c r="D184" s="29"/>
      <c r="E184" s="6"/>
      <c r="F184" s="21"/>
      <c r="G184" s="21"/>
      <c r="H184" s="29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customFormat="false" ht="15.75" hidden="false" customHeight="true" outlineLevel="0" collapsed="false">
      <c r="A185" s="19"/>
      <c r="B185" s="21"/>
      <c r="C185" s="21"/>
      <c r="D185" s="29"/>
      <c r="E185" s="6"/>
      <c r="F185" s="21"/>
      <c r="G185" s="21"/>
      <c r="H185" s="29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customFormat="false" ht="15.75" hidden="false" customHeight="true" outlineLevel="0" collapsed="false">
      <c r="A186" s="19"/>
      <c r="B186" s="21"/>
      <c r="C186" s="21"/>
      <c r="D186" s="29"/>
      <c r="E186" s="6"/>
      <c r="F186" s="21"/>
      <c r="G186" s="21"/>
      <c r="H186" s="29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customFormat="false" ht="15.75" hidden="false" customHeight="true" outlineLevel="0" collapsed="false">
      <c r="A187" s="19"/>
      <c r="B187" s="21"/>
      <c r="C187" s="21"/>
      <c r="D187" s="29"/>
      <c r="E187" s="6"/>
      <c r="F187" s="21"/>
      <c r="G187" s="21"/>
      <c r="H187" s="29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customFormat="false" ht="15.75" hidden="false" customHeight="true" outlineLevel="0" collapsed="false">
      <c r="A188" s="19"/>
      <c r="B188" s="21"/>
      <c r="C188" s="21"/>
      <c r="D188" s="29"/>
      <c r="E188" s="6"/>
      <c r="F188" s="21"/>
      <c r="G188" s="21"/>
      <c r="H188" s="29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customFormat="false" ht="15.75" hidden="false" customHeight="true" outlineLevel="0" collapsed="false">
      <c r="A189" s="19"/>
      <c r="B189" s="21"/>
      <c r="C189" s="21"/>
      <c r="D189" s="29"/>
      <c r="E189" s="6"/>
      <c r="F189" s="21"/>
      <c r="G189" s="21"/>
      <c r="H189" s="29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customFormat="false" ht="15.75" hidden="false" customHeight="true" outlineLevel="0" collapsed="false">
      <c r="A190" s="19"/>
      <c r="B190" s="21"/>
      <c r="C190" s="21"/>
      <c r="D190" s="29"/>
      <c r="E190" s="6"/>
      <c r="F190" s="21"/>
      <c r="G190" s="21"/>
      <c r="H190" s="29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customFormat="false" ht="15.75" hidden="false" customHeight="true" outlineLevel="0" collapsed="false">
      <c r="A191" s="19"/>
      <c r="B191" s="21"/>
      <c r="C191" s="21"/>
      <c r="D191" s="29"/>
      <c r="E191" s="6"/>
      <c r="F191" s="21"/>
      <c r="G191" s="21"/>
      <c r="H191" s="29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customFormat="false" ht="15.75" hidden="false" customHeight="true" outlineLevel="0" collapsed="false">
      <c r="A192" s="19"/>
      <c r="B192" s="21"/>
      <c r="C192" s="21"/>
      <c r="D192" s="29"/>
      <c r="E192" s="6"/>
      <c r="F192" s="21"/>
      <c r="G192" s="21"/>
      <c r="H192" s="29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customFormat="false" ht="15.75" hidden="false" customHeight="true" outlineLevel="0" collapsed="false">
      <c r="A193" s="19"/>
      <c r="B193" s="21"/>
      <c r="C193" s="21"/>
      <c r="D193" s="29"/>
      <c r="E193" s="6"/>
      <c r="F193" s="21"/>
      <c r="G193" s="21"/>
      <c r="H193" s="29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customFormat="false" ht="15.75" hidden="false" customHeight="true" outlineLevel="0" collapsed="false">
      <c r="A194" s="19"/>
      <c r="B194" s="21"/>
      <c r="C194" s="21"/>
      <c r="D194" s="29"/>
      <c r="E194" s="6"/>
      <c r="F194" s="21"/>
      <c r="G194" s="21"/>
      <c r="H194" s="29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customFormat="false" ht="15.75" hidden="false" customHeight="true" outlineLevel="0" collapsed="false">
      <c r="A195" s="19"/>
      <c r="B195" s="21"/>
      <c r="C195" s="21"/>
      <c r="D195" s="29"/>
      <c r="E195" s="6"/>
      <c r="F195" s="21"/>
      <c r="G195" s="21"/>
      <c r="H195" s="29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customFormat="false" ht="15.75" hidden="false" customHeight="true" outlineLevel="0" collapsed="false">
      <c r="A196" s="19"/>
      <c r="B196" s="21"/>
      <c r="C196" s="21"/>
      <c r="D196" s="29"/>
      <c r="E196" s="6"/>
      <c r="F196" s="21"/>
      <c r="G196" s="21"/>
      <c r="H196" s="29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customFormat="false" ht="15.75" hidden="false" customHeight="true" outlineLevel="0" collapsed="false">
      <c r="A197" s="19"/>
      <c r="B197" s="21"/>
      <c r="C197" s="21"/>
      <c r="D197" s="29"/>
      <c r="E197" s="6"/>
      <c r="F197" s="21"/>
      <c r="G197" s="21"/>
      <c r="H197" s="29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customFormat="false" ht="15.75" hidden="false" customHeight="true" outlineLevel="0" collapsed="false">
      <c r="A198" s="19"/>
      <c r="B198" s="21"/>
      <c r="C198" s="21"/>
      <c r="D198" s="29"/>
      <c r="E198" s="6"/>
      <c r="F198" s="21"/>
      <c r="G198" s="21"/>
      <c r="H198" s="29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customFormat="false" ht="15.75" hidden="false" customHeight="true" outlineLevel="0" collapsed="false">
      <c r="A199" s="19"/>
      <c r="B199" s="21"/>
      <c r="C199" s="21"/>
      <c r="D199" s="29"/>
      <c r="E199" s="6"/>
      <c r="F199" s="21"/>
      <c r="G199" s="21"/>
      <c r="H199" s="29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customFormat="false" ht="15.75" hidden="false" customHeight="true" outlineLevel="0" collapsed="false">
      <c r="A200" s="19"/>
      <c r="B200" s="21"/>
      <c r="C200" s="21"/>
      <c r="D200" s="29"/>
      <c r="E200" s="6"/>
      <c r="F200" s="21"/>
      <c r="G200" s="21"/>
      <c r="H200" s="29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customFormat="false" ht="15.75" hidden="false" customHeight="true" outlineLevel="0" collapsed="false">
      <c r="A201" s="19"/>
      <c r="B201" s="21"/>
      <c r="C201" s="21"/>
      <c r="D201" s="29"/>
      <c r="E201" s="6"/>
      <c r="F201" s="21"/>
      <c r="G201" s="21"/>
      <c r="H201" s="29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customFormat="false" ht="15.75" hidden="false" customHeight="true" outlineLevel="0" collapsed="false">
      <c r="A202" s="19"/>
      <c r="B202" s="21"/>
      <c r="C202" s="21"/>
      <c r="D202" s="29"/>
      <c r="E202" s="6"/>
      <c r="F202" s="21"/>
      <c r="G202" s="21"/>
      <c r="H202" s="29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customFormat="false" ht="15.75" hidden="false" customHeight="true" outlineLevel="0" collapsed="false">
      <c r="A203" s="19"/>
      <c r="B203" s="21"/>
      <c r="C203" s="21"/>
      <c r="D203" s="29"/>
      <c r="E203" s="6"/>
      <c r="F203" s="21"/>
      <c r="G203" s="21"/>
      <c r="H203" s="29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customFormat="false" ht="15.75" hidden="false" customHeight="true" outlineLevel="0" collapsed="false">
      <c r="A204" s="19"/>
      <c r="B204" s="21"/>
      <c r="C204" s="21"/>
      <c r="D204" s="29"/>
      <c r="E204" s="6"/>
      <c r="F204" s="21"/>
      <c r="G204" s="21"/>
      <c r="H204" s="29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customFormat="false" ht="15.75" hidden="false" customHeight="true" outlineLevel="0" collapsed="false">
      <c r="A205" s="19"/>
      <c r="B205" s="21"/>
      <c r="C205" s="21"/>
      <c r="D205" s="29"/>
      <c r="E205" s="6"/>
      <c r="F205" s="21"/>
      <c r="G205" s="21"/>
      <c r="H205" s="29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customFormat="false" ht="15.75" hidden="false" customHeight="true" outlineLevel="0" collapsed="false">
      <c r="A206" s="19"/>
      <c r="B206" s="21"/>
      <c r="C206" s="21"/>
      <c r="D206" s="29"/>
      <c r="E206" s="6"/>
      <c r="F206" s="21"/>
      <c r="G206" s="21"/>
      <c r="H206" s="29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customFormat="false" ht="15.75" hidden="false" customHeight="true" outlineLevel="0" collapsed="false">
      <c r="A207" s="19"/>
      <c r="B207" s="21"/>
      <c r="C207" s="21"/>
      <c r="D207" s="29"/>
      <c r="E207" s="6"/>
      <c r="F207" s="21"/>
      <c r="G207" s="21"/>
      <c r="H207" s="29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customFormat="false" ht="15.75" hidden="false" customHeight="true" outlineLevel="0" collapsed="false">
      <c r="A208" s="19"/>
      <c r="B208" s="21"/>
      <c r="C208" s="21"/>
      <c r="D208" s="29"/>
      <c r="E208" s="6"/>
      <c r="F208" s="21"/>
      <c r="G208" s="21"/>
      <c r="H208" s="29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customFormat="false" ht="15.75" hidden="false" customHeight="true" outlineLevel="0" collapsed="false">
      <c r="A209" s="19"/>
      <c r="B209" s="21"/>
      <c r="C209" s="21"/>
      <c r="D209" s="29"/>
      <c r="E209" s="6"/>
      <c r="F209" s="21"/>
      <c r="G209" s="21"/>
      <c r="H209" s="29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customFormat="false" ht="15.75" hidden="false" customHeight="true" outlineLevel="0" collapsed="false">
      <c r="A210" s="19"/>
      <c r="B210" s="21"/>
      <c r="C210" s="21"/>
      <c r="D210" s="29"/>
      <c r="E210" s="6"/>
      <c r="F210" s="21"/>
      <c r="G210" s="21"/>
      <c r="H210" s="29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customFormat="false" ht="15.75" hidden="false" customHeight="true" outlineLevel="0" collapsed="false">
      <c r="A211" s="19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customFormat="false" ht="15.75" hidden="false" customHeight="true" outlineLevel="0" collapsed="false">
      <c r="A212" s="19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customFormat="false" ht="15.75" hidden="false" customHeight="true" outlineLevel="0" collapsed="false">
      <c r="A213" s="19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customFormat="false" ht="15.75" hidden="false" customHeight="true" outlineLevel="0" collapsed="false">
      <c r="A214" s="19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customFormat="false" ht="15.75" hidden="false" customHeight="true" outlineLevel="0" collapsed="false">
      <c r="A215" s="19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customFormat="false" ht="15.75" hidden="false" customHeight="true" outlineLevel="0" collapsed="false">
      <c r="A216" s="19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customFormat="false" ht="15.75" hidden="false" customHeight="true" outlineLevel="0" collapsed="false">
      <c r="A217" s="19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customFormat="false" ht="15.75" hidden="false" customHeight="true" outlineLevel="0" collapsed="false">
      <c r="A218" s="19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customFormat="false" ht="15.75" hidden="false" customHeight="true" outlineLevel="0" collapsed="false">
      <c r="A219" s="19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customFormat="false" ht="15.75" hidden="false" customHeight="true" outlineLevel="0" collapsed="false">
      <c r="A220" s="19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customFormat="false" ht="15.75" hidden="false" customHeight="true" outlineLevel="0" collapsed="false">
      <c r="A221" s="19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customFormat="false" ht="15.75" hidden="false" customHeight="true" outlineLevel="0" collapsed="false">
      <c r="A222" s="19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customFormat="false" ht="15.75" hidden="false" customHeight="true" outlineLevel="0" collapsed="false">
      <c r="A223" s="19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customFormat="false" ht="15.75" hidden="false" customHeight="true" outlineLevel="0" collapsed="false">
      <c r="A224" s="19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customFormat="false" ht="15.75" hidden="false" customHeight="true" outlineLevel="0" collapsed="false">
      <c r="A225" s="19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customFormat="false" ht="15.75" hidden="false" customHeight="true" outlineLevel="0" collapsed="false">
      <c r="A226" s="19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customFormat="false" ht="15.75" hidden="false" customHeight="true" outlineLevel="0" collapsed="false">
      <c r="A227" s="19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customFormat="false" ht="15.75" hidden="false" customHeight="true" outlineLevel="0" collapsed="false">
      <c r="A228" s="19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customFormat="false" ht="15.75" hidden="false" customHeight="true" outlineLevel="0" collapsed="false">
      <c r="A229" s="19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customFormat="false" ht="15.75" hidden="false" customHeight="true" outlineLevel="0" collapsed="false">
      <c r="A230" s="19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customFormat="false" ht="15.75" hidden="false" customHeight="true" outlineLevel="0" collapsed="false">
      <c r="A231" s="19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customFormat="false" ht="15.75" hidden="false" customHeight="true" outlineLevel="0" collapsed="false">
      <c r="A232" s="19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customFormat="false" ht="15.75" hidden="false" customHeight="true" outlineLevel="0" collapsed="false">
      <c r="A233" s="19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customFormat="false" ht="15.75" hidden="false" customHeight="true" outlineLevel="0" collapsed="false">
      <c r="A234" s="19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customFormat="false" ht="15.75" hidden="false" customHeight="true" outlineLevel="0" collapsed="false">
      <c r="A235" s="19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customFormat="false" ht="15.75" hidden="false" customHeight="true" outlineLevel="0" collapsed="false">
      <c r="A236" s="19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customFormat="false" ht="15.75" hidden="false" customHeight="true" outlineLevel="0" collapsed="false">
      <c r="A237" s="19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customFormat="false" ht="15.75" hidden="false" customHeight="true" outlineLevel="0" collapsed="false">
      <c r="A238" s="19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customFormat="false" ht="15.75" hidden="false" customHeight="true" outlineLevel="0" collapsed="false">
      <c r="A239" s="19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customFormat="false" ht="15.75" hidden="false" customHeight="true" outlineLevel="0" collapsed="false">
      <c r="A240" s="19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customFormat="false" ht="15.75" hidden="false" customHeight="true" outlineLevel="0" collapsed="false">
      <c r="A241" s="19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customFormat="false" ht="15.75" hidden="false" customHeight="true" outlineLevel="0" collapsed="false">
      <c r="A242" s="19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customFormat="false" ht="15.75" hidden="false" customHeight="true" outlineLevel="0" collapsed="false">
      <c r="A243" s="19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customFormat="false" ht="15.75" hidden="false" customHeight="true" outlineLevel="0" collapsed="false">
      <c r="A244" s="19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customFormat="false" ht="15.75" hidden="false" customHeight="true" outlineLevel="0" collapsed="false">
      <c r="A245" s="19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customFormat="false" ht="15.75" hidden="false" customHeight="true" outlineLevel="0" collapsed="false">
      <c r="A246" s="19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customFormat="false" ht="15.75" hidden="false" customHeight="true" outlineLevel="0" collapsed="false">
      <c r="A247" s="19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customFormat="false" ht="15.75" hidden="false" customHeight="true" outlineLevel="0" collapsed="false">
      <c r="A248" s="19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customFormat="false" ht="15.75" hidden="false" customHeight="true" outlineLevel="0" collapsed="false">
      <c r="A249" s="19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customFormat="false" ht="15.75" hidden="false" customHeight="true" outlineLevel="0" collapsed="false">
      <c r="A250" s="19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customFormat="false" ht="15.75" hidden="false" customHeight="true" outlineLevel="0" collapsed="false">
      <c r="A251" s="19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customFormat="false" ht="15.75" hidden="false" customHeight="true" outlineLevel="0" collapsed="false">
      <c r="A252" s="19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customFormat="false" ht="15.75" hidden="false" customHeight="true" outlineLevel="0" collapsed="false">
      <c r="A253" s="19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customFormat="false" ht="15.75" hidden="false" customHeight="true" outlineLevel="0" collapsed="false">
      <c r="A254" s="19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customFormat="false" ht="15.75" hidden="false" customHeight="true" outlineLevel="0" collapsed="false">
      <c r="A255" s="19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customFormat="false" ht="15.75" hidden="false" customHeight="true" outlineLevel="0" collapsed="false">
      <c r="A256" s="19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customFormat="false" ht="15.75" hidden="false" customHeight="true" outlineLevel="0" collapsed="false">
      <c r="A257" s="19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customFormat="false" ht="15.75" hidden="false" customHeight="true" outlineLevel="0" collapsed="false">
      <c r="A258" s="19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customFormat="false" ht="15.75" hidden="false" customHeight="true" outlineLevel="0" collapsed="false">
      <c r="A259" s="19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customFormat="false" ht="15.75" hidden="false" customHeight="true" outlineLevel="0" collapsed="false">
      <c r="A260" s="19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customFormat="false" ht="15.75" hidden="false" customHeight="true" outlineLevel="0" collapsed="false">
      <c r="A261" s="19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customFormat="false" ht="15.75" hidden="false" customHeight="true" outlineLevel="0" collapsed="false">
      <c r="A262" s="19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customFormat="false" ht="15.75" hidden="false" customHeight="true" outlineLevel="0" collapsed="false">
      <c r="A263" s="19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customFormat="false" ht="15.75" hidden="false" customHeight="true" outlineLevel="0" collapsed="false">
      <c r="A264" s="19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customFormat="false" ht="15.75" hidden="false" customHeight="true" outlineLevel="0" collapsed="false">
      <c r="A265" s="19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customFormat="false" ht="15.75" hidden="false" customHeight="true" outlineLevel="0" collapsed="false">
      <c r="A266" s="19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customFormat="false" ht="15.75" hidden="false" customHeight="true" outlineLevel="0" collapsed="false">
      <c r="A267" s="19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customFormat="false" ht="15.75" hidden="false" customHeight="true" outlineLevel="0" collapsed="false">
      <c r="A268" s="19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customFormat="false" ht="15.75" hidden="false" customHeight="true" outlineLevel="0" collapsed="false">
      <c r="A269" s="19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customFormat="false" ht="15.75" hidden="false" customHeight="true" outlineLevel="0" collapsed="false">
      <c r="A270" s="19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customFormat="false" ht="15.75" hidden="false" customHeight="true" outlineLevel="0" collapsed="false">
      <c r="A271" s="19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customFormat="false" ht="15.75" hidden="false" customHeight="true" outlineLevel="0" collapsed="false">
      <c r="A272" s="19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customFormat="false" ht="15.75" hidden="false" customHeight="true" outlineLevel="0" collapsed="false">
      <c r="A273" s="19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customFormat="false" ht="15.75" hidden="false" customHeight="true" outlineLevel="0" collapsed="false">
      <c r="A274" s="19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customFormat="false" ht="15.75" hidden="false" customHeight="true" outlineLevel="0" collapsed="false">
      <c r="A275" s="19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customFormat="false" ht="15.75" hidden="false" customHeight="true" outlineLevel="0" collapsed="false">
      <c r="A276" s="19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customFormat="false" ht="15.75" hidden="false" customHeight="true" outlineLevel="0" collapsed="false">
      <c r="A277" s="19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customFormat="false" ht="15.75" hidden="false" customHeight="true" outlineLevel="0" collapsed="false">
      <c r="A278" s="19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customFormat="false" ht="15.75" hidden="false" customHeight="true" outlineLevel="0" collapsed="false">
      <c r="A279" s="19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customFormat="false" ht="15.75" hidden="false" customHeight="true" outlineLevel="0" collapsed="false">
      <c r="A280" s="19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customFormat="false" ht="15.75" hidden="false" customHeight="true" outlineLevel="0" collapsed="false">
      <c r="A281" s="19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customFormat="false" ht="15.75" hidden="false" customHeight="true" outlineLevel="0" collapsed="false">
      <c r="A282" s="19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customFormat="false" ht="15.75" hidden="false" customHeight="true" outlineLevel="0" collapsed="false">
      <c r="A283" s="19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customFormat="false" ht="15.75" hidden="false" customHeight="true" outlineLevel="0" collapsed="false">
      <c r="A284" s="19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customFormat="false" ht="15.75" hidden="false" customHeight="true" outlineLevel="0" collapsed="false">
      <c r="A285" s="19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customFormat="false" ht="15.75" hidden="false" customHeight="true" outlineLevel="0" collapsed="false">
      <c r="A286" s="19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customFormat="false" ht="15.75" hidden="false" customHeight="true" outlineLevel="0" collapsed="false">
      <c r="A287" s="19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customFormat="false" ht="15.75" hidden="false" customHeight="true" outlineLevel="0" collapsed="false">
      <c r="A288" s="19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customFormat="false" ht="15.75" hidden="false" customHeight="true" outlineLevel="0" collapsed="false">
      <c r="A289" s="19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customFormat="false" ht="15.75" hidden="false" customHeight="true" outlineLevel="0" collapsed="false">
      <c r="A290" s="19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customFormat="false" ht="15.75" hidden="false" customHeight="true" outlineLevel="0" collapsed="false">
      <c r="A291" s="19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customFormat="false" ht="15.75" hidden="false" customHeight="true" outlineLevel="0" collapsed="false">
      <c r="A292" s="19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customFormat="false" ht="15.75" hidden="false" customHeight="true" outlineLevel="0" collapsed="false">
      <c r="A293" s="19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customFormat="false" ht="15.75" hidden="false" customHeight="true" outlineLevel="0" collapsed="false">
      <c r="A294" s="19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customFormat="false" ht="15.75" hidden="false" customHeight="true" outlineLevel="0" collapsed="false">
      <c r="A295" s="19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customFormat="false" ht="15.75" hidden="false" customHeight="true" outlineLevel="0" collapsed="false">
      <c r="A296" s="19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customFormat="false" ht="15.75" hidden="false" customHeight="true" outlineLevel="0" collapsed="false">
      <c r="A297" s="19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customFormat="false" ht="15.75" hidden="false" customHeight="true" outlineLevel="0" collapsed="false">
      <c r="A298" s="19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customFormat="false" ht="15.75" hidden="false" customHeight="true" outlineLevel="0" collapsed="false">
      <c r="A299" s="19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customFormat="false" ht="15.75" hidden="false" customHeight="true" outlineLevel="0" collapsed="false">
      <c r="A300" s="19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customFormat="false" ht="15.75" hidden="false" customHeight="true" outlineLevel="0" collapsed="false">
      <c r="A301" s="19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customFormat="false" ht="15.75" hidden="false" customHeight="true" outlineLevel="0" collapsed="false">
      <c r="A302" s="19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customFormat="false" ht="15.75" hidden="false" customHeight="true" outlineLevel="0" collapsed="false">
      <c r="A303" s="19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customFormat="false" ht="15.75" hidden="false" customHeight="true" outlineLevel="0" collapsed="false">
      <c r="A304" s="19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customFormat="false" ht="15.75" hidden="false" customHeight="true" outlineLevel="0" collapsed="false">
      <c r="A305" s="19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customFormat="false" ht="15.75" hidden="false" customHeight="true" outlineLevel="0" collapsed="false">
      <c r="A306" s="19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customFormat="false" ht="15.75" hidden="false" customHeight="true" outlineLevel="0" collapsed="false">
      <c r="A307" s="19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customFormat="false" ht="15.75" hidden="false" customHeight="true" outlineLevel="0" collapsed="false">
      <c r="A308" s="19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customFormat="false" ht="15.75" hidden="false" customHeight="true" outlineLevel="0" collapsed="false">
      <c r="A309" s="19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customFormat="false" ht="15.75" hidden="false" customHeight="true" outlineLevel="0" collapsed="false">
      <c r="A310" s="19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customFormat="false" ht="15.75" hidden="false" customHeight="true" outlineLevel="0" collapsed="false">
      <c r="A311" s="19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customFormat="false" ht="15.75" hidden="false" customHeight="true" outlineLevel="0" collapsed="false">
      <c r="A312" s="19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customFormat="false" ht="15.75" hidden="false" customHeight="true" outlineLevel="0" collapsed="false">
      <c r="A313" s="19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customFormat="false" ht="15.75" hidden="false" customHeight="true" outlineLevel="0" collapsed="false">
      <c r="A314" s="19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customFormat="false" ht="15.75" hidden="false" customHeight="true" outlineLevel="0" collapsed="false">
      <c r="A315" s="19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customFormat="false" ht="15.75" hidden="false" customHeight="true" outlineLevel="0" collapsed="false">
      <c r="A316" s="19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customFormat="false" ht="15.75" hidden="false" customHeight="true" outlineLevel="0" collapsed="false">
      <c r="A317" s="19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customFormat="false" ht="15.75" hidden="false" customHeight="true" outlineLevel="0" collapsed="false">
      <c r="A318" s="19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customFormat="false" ht="15.75" hidden="false" customHeight="true" outlineLevel="0" collapsed="false">
      <c r="A319" s="19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customFormat="false" ht="15.75" hidden="false" customHeight="true" outlineLevel="0" collapsed="false">
      <c r="A320" s="19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customFormat="false" ht="15.75" hidden="false" customHeight="true" outlineLevel="0" collapsed="false">
      <c r="A321" s="19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customFormat="false" ht="15.75" hidden="false" customHeight="true" outlineLevel="0" collapsed="false">
      <c r="A322" s="19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customFormat="false" ht="15.75" hidden="false" customHeight="true" outlineLevel="0" collapsed="false">
      <c r="A323" s="19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customFormat="false" ht="15.75" hidden="false" customHeight="true" outlineLevel="0" collapsed="false">
      <c r="A324" s="19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customFormat="false" ht="15.75" hidden="false" customHeight="true" outlineLevel="0" collapsed="false">
      <c r="A325" s="19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customFormat="false" ht="15.75" hidden="false" customHeight="true" outlineLevel="0" collapsed="false">
      <c r="A326" s="19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customFormat="false" ht="15.75" hidden="false" customHeight="true" outlineLevel="0" collapsed="false">
      <c r="A327" s="19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customFormat="false" ht="15.75" hidden="false" customHeight="true" outlineLevel="0" collapsed="false">
      <c r="A328" s="19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customFormat="false" ht="15.75" hidden="false" customHeight="true" outlineLevel="0" collapsed="false">
      <c r="A329" s="19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customFormat="false" ht="15.75" hidden="false" customHeight="true" outlineLevel="0" collapsed="false">
      <c r="A330" s="19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customFormat="false" ht="15.75" hidden="false" customHeight="true" outlineLevel="0" collapsed="false">
      <c r="A331" s="19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customFormat="false" ht="15.75" hidden="false" customHeight="true" outlineLevel="0" collapsed="false">
      <c r="A332" s="19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customFormat="false" ht="15.75" hidden="false" customHeight="true" outlineLevel="0" collapsed="false">
      <c r="A333" s="19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customFormat="false" ht="15.75" hidden="false" customHeight="true" outlineLevel="0" collapsed="false">
      <c r="A334" s="19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customFormat="false" ht="15.75" hidden="false" customHeight="true" outlineLevel="0" collapsed="false">
      <c r="A335" s="19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customFormat="false" ht="15.75" hidden="false" customHeight="true" outlineLevel="0" collapsed="false">
      <c r="A336" s="19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customFormat="false" ht="15.75" hidden="false" customHeight="true" outlineLevel="0" collapsed="false">
      <c r="A337" s="19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customFormat="false" ht="15.75" hidden="false" customHeight="true" outlineLevel="0" collapsed="false">
      <c r="A338" s="19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customFormat="false" ht="15.75" hidden="false" customHeight="true" outlineLevel="0" collapsed="false">
      <c r="A339" s="19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customFormat="false" ht="15.75" hidden="false" customHeight="true" outlineLevel="0" collapsed="false">
      <c r="A340" s="19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customFormat="false" ht="15.75" hidden="false" customHeight="true" outlineLevel="0" collapsed="false">
      <c r="A341" s="19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customFormat="false" ht="15.75" hidden="false" customHeight="true" outlineLevel="0" collapsed="false">
      <c r="A342" s="19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customFormat="false" ht="15.75" hidden="false" customHeight="true" outlineLevel="0" collapsed="false">
      <c r="A343" s="19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customFormat="false" ht="15.75" hidden="false" customHeight="true" outlineLevel="0" collapsed="false">
      <c r="A344" s="19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customFormat="false" ht="15.75" hidden="false" customHeight="true" outlineLevel="0" collapsed="false">
      <c r="A345" s="19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customFormat="false" ht="15.75" hidden="false" customHeight="true" outlineLevel="0" collapsed="false">
      <c r="A346" s="19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customFormat="false" ht="15.75" hidden="false" customHeight="true" outlineLevel="0" collapsed="false">
      <c r="A347" s="19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customFormat="false" ht="15.75" hidden="false" customHeight="true" outlineLevel="0" collapsed="false">
      <c r="A348" s="19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customFormat="false" ht="15.75" hidden="false" customHeight="true" outlineLevel="0" collapsed="false">
      <c r="A349" s="19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customFormat="false" ht="15.75" hidden="false" customHeight="true" outlineLevel="0" collapsed="false">
      <c r="A350" s="19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customFormat="false" ht="15.75" hidden="false" customHeight="true" outlineLevel="0" collapsed="false">
      <c r="A351" s="19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customFormat="false" ht="15.75" hidden="false" customHeight="true" outlineLevel="0" collapsed="false">
      <c r="A352" s="19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customFormat="false" ht="15.75" hidden="false" customHeight="true" outlineLevel="0" collapsed="false">
      <c r="A353" s="19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customFormat="false" ht="15.75" hidden="false" customHeight="true" outlineLevel="0" collapsed="false">
      <c r="A354" s="19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customFormat="false" ht="15.75" hidden="false" customHeight="true" outlineLevel="0" collapsed="false">
      <c r="A355" s="19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customFormat="false" ht="15.75" hidden="false" customHeight="true" outlineLevel="0" collapsed="false">
      <c r="A356" s="19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customFormat="false" ht="15.75" hidden="false" customHeight="true" outlineLevel="0" collapsed="false">
      <c r="A357" s="19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customFormat="false" ht="15.75" hidden="false" customHeight="true" outlineLevel="0" collapsed="false">
      <c r="A358" s="19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customFormat="false" ht="15.75" hidden="false" customHeight="true" outlineLevel="0" collapsed="false">
      <c r="A359" s="19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customFormat="false" ht="15.75" hidden="false" customHeight="true" outlineLevel="0" collapsed="false">
      <c r="A360" s="19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customFormat="false" ht="15.75" hidden="false" customHeight="true" outlineLevel="0" collapsed="false">
      <c r="A361" s="19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customFormat="false" ht="15.75" hidden="false" customHeight="true" outlineLevel="0" collapsed="false">
      <c r="A362" s="19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customFormat="false" ht="15.75" hidden="false" customHeight="true" outlineLevel="0" collapsed="false">
      <c r="A363" s="19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customFormat="false" ht="15.75" hidden="false" customHeight="true" outlineLevel="0" collapsed="false">
      <c r="A364" s="19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customFormat="false" ht="15.75" hidden="false" customHeight="true" outlineLevel="0" collapsed="false">
      <c r="A365" s="19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customFormat="false" ht="15.75" hidden="false" customHeight="true" outlineLevel="0" collapsed="false">
      <c r="A366" s="19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customFormat="false" ht="15.75" hidden="false" customHeight="true" outlineLevel="0" collapsed="false">
      <c r="A367" s="19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customFormat="false" ht="15.75" hidden="false" customHeight="true" outlineLevel="0" collapsed="false">
      <c r="A368" s="19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customFormat="false" ht="15.75" hidden="false" customHeight="true" outlineLevel="0" collapsed="false">
      <c r="A369" s="19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customFormat="false" ht="15.75" hidden="false" customHeight="true" outlineLevel="0" collapsed="false">
      <c r="A370" s="19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customFormat="false" ht="15.75" hidden="false" customHeight="true" outlineLevel="0" collapsed="false">
      <c r="A371" s="19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customFormat="false" ht="15.75" hidden="false" customHeight="true" outlineLevel="0" collapsed="false">
      <c r="A372" s="19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customFormat="false" ht="15.75" hidden="false" customHeight="true" outlineLevel="0" collapsed="false">
      <c r="A373" s="19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customFormat="false" ht="15.75" hidden="false" customHeight="true" outlineLevel="0" collapsed="false">
      <c r="A374" s="19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customFormat="false" ht="15.75" hidden="false" customHeight="true" outlineLevel="0" collapsed="false">
      <c r="A375" s="19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customFormat="false" ht="15.75" hidden="false" customHeight="true" outlineLevel="0" collapsed="false">
      <c r="A376" s="19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customFormat="false" ht="15.75" hidden="false" customHeight="true" outlineLevel="0" collapsed="false">
      <c r="A377" s="19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customFormat="false" ht="15.75" hidden="false" customHeight="true" outlineLevel="0" collapsed="false">
      <c r="A378" s="19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customFormat="false" ht="15.75" hidden="false" customHeight="true" outlineLevel="0" collapsed="false">
      <c r="A379" s="19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customFormat="false" ht="15.75" hidden="false" customHeight="true" outlineLevel="0" collapsed="false">
      <c r="A380" s="19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customFormat="false" ht="15.75" hidden="false" customHeight="true" outlineLevel="0" collapsed="false">
      <c r="A381" s="19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customFormat="false" ht="15.75" hidden="false" customHeight="true" outlineLevel="0" collapsed="false">
      <c r="A382" s="19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customFormat="false" ht="15.75" hidden="false" customHeight="true" outlineLevel="0" collapsed="false">
      <c r="A383" s="19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customFormat="false" ht="15.75" hidden="false" customHeight="true" outlineLevel="0" collapsed="false">
      <c r="A384" s="19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customFormat="false" ht="15.75" hidden="false" customHeight="true" outlineLevel="0" collapsed="false">
      <c r="A385" s="19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customFormat="false" ht="15.75" hidden="false" customHeight="true" outlineLevel="0" collapsed="false">
      <c r="A386" s="19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customFormat="false" ht="15.75" hidden="false" customHeight="true" outlineLevel="0" collapsed="false">
      <c r="A387" s="19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customFormat="false" ht="15.75" hidden="false" customHeight="true" outlineLevel="0" collapsed="false">
      <c r="A388" s="19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customFormat="false" ht="15.75" hidden="false" customHeight="true" outlineLevel="0" collapsed="false">
      <c r="A389" s="19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customFormat="false" ht="15.75" hidden="false" customHeight="true" outlineLevel="0" collapsed="false">
      <c r="A390" s="19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customFormat="false" ht="15.75" hidden="false" customHeight="true" outlineLevel="0" collapsed="false">
      <c r="A391" s="19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customFormat="false" ht="15.75" hidden="false" customHeight="true" outlineLevel="0" collapsed="false">
      <c r="A392" s="19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customFormat="false" ht="15.75" hidden="false" customHeight="true" outlineLevel="0" collapsed="false">
      <c r="A393" s="19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customFormat="false" ht="15.75" hidden="false" customHeight="true" outlineLevel="0" collapsed="false">
      <c r="A394" s="19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customFormat="false" ht="15.75" hidden="false" customHeight="true" outlineLevel="0" collapsed="false">
      <c r="A395" s="19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customFormat="false" ht="15.75" hidden="false" customHeight="true" outlineLevel="0" collapsed="false">
      <c r="A396" s="19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customFormat="false" ht="15.75" hidden="false" customHeight="true" outlineLevel="0" collapsed="false">
      <c r="A397" s="19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customFormat="false" ht="15.75" hidden="false" customHeight="true" outlineLevel="0" collapsed="false">
      <c r="A398" s="19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customFormat="false" ht="15.75" hidden="false" customHeight="true" outlineLevel="0" collapsed="false">
      <c r="A399" s="19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customFormat="false" ht="15.75" hidden="false" customHeight="true" outlineLevel="0" collapsed="false">
      <c r="A400" s="19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customFormat="false" ht="15.75" hidden="false" customHeight="true" outlineLevel="0" collapsed="false">
      <c r="A401" s="19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customFormat="false" ht="15.75" hidden="false" customHeight="true" outlineLevel="0" collapsed="false">
      <c r="A402" s="19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customFormat="false" ht="15.75" hidden="false" customHeight="true" outlineLevel="0" collapsed="false">
      <c r="A403" s="19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customFormat="false" ht="15.75" hidden="false" customHeight="true" outlineLevel="0" collapsed="false">
      <c r="A404" s="19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customFormat="false" ht="15.75" hidden="false" customHeight="true" outlineLevel="0" collapsed="false">
      <c r="A405" s="19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customFormat="false" ht="15.75" hidden="false" customHeight="true" outlineLevel="0" collapsed="false">
      <c r="A406" s="19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customFormat="false" ht="15.75" hidden="false" customHeight="true" outlineLevel="0" collapsed="false">
      <c r="A407" s="19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customFormat="false" ht="15.75" hidden="false" customHeight="true" outlineLevel="0" collapsed="false">
      <c r="A408" s="19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customFormat="false" ht="15.75" hidden="false" customHeight="true" outlineLevel="0" collapsed="false">
      <c r="A409" s="19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customFormat="false" ht="15.75" hidden="false" customHeight="true" outlineLevel="0" collapsed="false">
      <c r="A410" s="19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customFormat="false" ht="15.75" hidden="false" customHeight="true" outlineLevel="0" collapsed="false">
      <c r="A411" s="19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customFormat="false" ht="15.75" hidden="false" customHeight="true" outlineLevel="0" collapsed="false">
      <c r="A412" s="19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customFormat="false" ht="15.75" hidden="false" customHeight="true" outlineLevel="0" collapsed="false">
      <c r="A413" s="19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customFormat="false" ht="15.75" hidden="false" customHeight="true" outlineLevel="0" collapsed="false">
      <c r="A414" s="19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customFormat="false" ht="15.75" hidden="false" customHeight="true" outlineLevel="0" collapsed="false">
      <c r="A415" s="19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customFormat="false" ht="15.75" hidden="false" customHeight="true" outlineLevel="0" collapsed="false">
      <c r="A416" s="19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customFormat="false" ht="15.75" hidden="false" customHeight="true" outlineLevel="0" collapsed="false">
      <c r="A417" s="19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customFormat="false" ht="15.75" hidden="false" customHeight="true" outlineLevel="0" collapsed="false">
      <c r="A418" s="19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customFormat="false" ht="15.75" hidden="false" customHeight="true" outlineLevel="0" collapsed="false">
      <c r="A419" s="19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customFormat="false" ht="15.75" hidden="false" customHeight="true" outlineLevel="0" collapsed="false">
      <c r="A420" s="19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customFormat="false" ht="15.75" hidden="false" customHeight="true" outlineLevel="0" collapsed="false">
      <c r="A421" s="19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customFormat="false" ht="15.75" hidden="false" customHeight="true" outlineLevel="0" collapsed="false">
      <c r="A422" s="19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customFormat="false" ht="15.75" hidden="false" customHeight="true" outlineLevel="0" collapsed="false">
      <c r="A423" s="19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customFormat="false" ht="15.75" hidden="false" customHeight="true" outlineLevel="0" collapsed="false">
      <c r="A424" s="19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customFormat="false" ht="15.75" hidden="false" customHeight="true" outlineLevel="0" collapsed="false">
      <c r="A425" s="19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customFormat="false" ht="15.75" hidden="false" customHeight="true" outlineLevel="0" collapsed="false">
      <c r="A426" s="19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customFormat="false" ht="15.75" hidden="false" customHeight="true" outlineLevel="0" collapsed="false">
      <c r="A427" s="19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customFormat="false" ht="15.75" hidden="false" customHeight="true" outlineLevel="0" collapsed="false">
      <c r="A428" s="19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customFormat="false" ht="15.75" hidden="false" customHeight="true" outlineLevel="0" collapsed="false">
      <c r="A429" s="19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customFormat="false" ht="15.75" hidden="false" customHeight="true" outlineLevel="0" collapsed="false">
      <c r="A430" s="19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customFormat="false" ht="15.75" hidden="false" customHeight="true" outlineLevel="0" collapsed="false">
      <c r="A431" s="19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customFormat="false" ht="15.75" hidden="false" customHeight="true" outlineLevel="0" collapsed="false">
      <c r="A432" s="19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customFormat="false" ht="15.75" hidden="false" customHeight="true" outlineLevel="0" collapsed="false">
      <c r="A433" s="19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customFormat="false" ht="15.75" hidden="false" customHeight="true" outlineLevel="0" collapsed="false">
      <c r="A434" s="19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customFormat="false" ht="15.75" hidden="false" customHeight="true" outlineLevel="0" collapsed="false">
      <c r="A435" s="19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customFormat="false" ht="15.75" hidden="false" customHeight="true" outlineLevel="0" collapsed="false">
      <c r="A436" s="19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customFormat="false" ht="15.75" hidden="false" customHeight="true" outlineLevel="0" collapsed="false">
      <c r="A437" s="19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customFormat="false" ht="15.75" hidden="false" customHeight="true" outlineLevel="0" collapsed="false">
      <c r="A438" s="19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customFormat="false" ht="15.75" hidden="false" customHeight="true" outlineLevel="0" collapsed="false">
      <c r="A439" s="19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customFormat="false" ht="15.75" hidden="false" customHeight="true" outlineLevel="0" collapsed="false">
      <c r="A440" s="19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customFormat="false" ht="15.75" hidden="false" customHeight="true" outlineLevel="0" collapsed="false">
      <c r="A441" s="19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customFormat="false" ht="15.75" hidden="false" customHeight="true" outlineLevel="0" collapsed="false">
      <c r="A442" s="19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customFormat="false" ht="15.75" hidden="false" customHeight="true" outlineLevel="0" collapsed="false">
      <c r="A443" s="19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customFormat="false" ht="15.75" hidden="false" customHeight="true" outlineLevel="0" collapsed="false">
      <c r="A444" s="19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customFormat="false" ht="15.75" hidden="false" customHeight="true" outlineLevel="0" collapsed="false">
      <c r="A445" s="19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customFormat="false" ht="15.75" hidden="false" customHeight="true" outlineLevel="0" collapsed="false">
      <c r="A446" s="19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customFormat="false" ht="15.75" hidden="false" customHeight="true" outlineLevel="0" collapsed="false">
      <c r="A447" s="19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customFormat="false" ht="15.75" hidden="false" customHeight="true" outlineLevel="0" collapsed="false">
      <c r="A448" s="19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customFormat="false" ht="15.75" hidden="false" customHeight="true" outlineLevel="0" collapsed="false">
      <c r="A449" s="19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customFormat="false" ht="15.75" hidden="false" customHeight="true" outlineLevel="0" collapsed="false">
      <c r="A450" s="19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customFormat="false" ht="15.75" hidden="false" customHeight="true" outlineLevel="0" collapsed="false">
      <c r="A451" s="19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customFormat="false" ht="15.75" hidden="false" customHeight="true" outlineLevel="0" collapsed="false">
      <c r="A452" s="19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customFormat="false" ht="15.75" hidden="false" customHeight="true" outlineLevel="0" collapsed="false">
      <c r="A453" s="19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customFormat="false" ht="15.75" hidden="false" customHeight="true" outlineLevel="0" collapsed="false">
      <c r="A454" s="19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customFormat="false" ht="15.75" hidden="false" customHeight="true" outlineLevel="0" collapsed="false">
      <c r="A455" s="19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customFormat="false" ht="15.75" hidden="false" customHeight="true" outlineLevel="0" collapsed="false">
      <c r="A456" s="19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customFormat="false" ht="15.75" hidden="false" customHeight="true" outlineLevel="0" collapsed="false">
      <c r="A457" s="19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customFormat="false" ht="15.75" hidden="false" customHeight="true" outlineLevel="0" collapsed="false">
      <c r="A458" s="19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customFormat="false" ht="15.75" hidden="false" customHeight="true" outlineLevel="0" collapsed="false">
      <c r="A459" s="19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customFormat="false" ht="15.75" hidden="false" customHeight="true" outlineLevel="0" collapsed="false">
      <c r="A460" s="19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customFormat="false" ht="15.75" hidden="false" customHeight="true" outlineLevel="0" collapsed="false">
      <c r="A461" s="19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customFormat="false" ht="15.75" hidden="false" customHeight="true" outlineLevel="0" collapsed="false">
      <c r="A462" s="19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customFormat="false" ht="15.75" hidden="false" customHeight="true" outlineLevel="0" collapsed="false">
      <c r="A463" s="19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customFormat="false" ht="15.75" hidden="false" customHeight="true" outlineLevel="0" collapsed="false">
      <c r="A464" s="19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customFormat="false" ht="15.75" hidden="false" customHeight="true" outlineLevel="0" collapsed="false">
      <c r="A465" s="19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customFormat="false" ht="15.75" hidden="false" customHeight="true" outlineLevel="0" collapsed="false">
      <c r="A466" s="19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customFormat="false" ht="15.75" hidden="false" customHeight="true" outlineLevel="0" collapsed="false">
      <c r="A467" s="19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customFormat="false" ht="15.75" hidden="false" customHeight="true" outlineLevel="0" collapsed="false">
      <c r="A468" s="19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customFormat="false" ht="15.75" hidden="false" customHeight="true" outlineLevel="0" collapsed="false">
      <c r="A469" s="19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customFormat="false" ht="15.75" hidden="false" customHeight="true" outlineLevel="0" collapsed="false">
      <c r="A470" s="19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customFormat="false" ht="15.75" hidden="false" customHeight="true" outlineLevel="0" collapsed="false">
      <c r="A471" s="19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customFormat="false" ht="15.75" hidden="false" customHeight="true" outlineLevel="0" collapsed="false">
      <c r="A472" s="19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customFormat="false" ht="15.75" hidden="false" customHeight="true" outlineLevel="0" collapsed="false">
      <c r="A473" s="19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customFormat="false" ht="15.75" hidden="false" customHeight="true" outlineLevel="0" collapsed="false">
      <c r="A474" s="19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customFormat="false" ht="15.75" hidden="false" customHeight="true" outlineLevel="0" collapsed="false">
      <c r="A475" s="19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customFormat="false" ht="15.75" hidden="false" customHeight="true" outlineLevel="0" collapsed="false">
      <c r="A476" s="19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customFormat="false" ht="15.75" hidden="false" customHeight="true" outlineLevel="0" collapsed="false">
      <c r="A477" s="19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customFormat="false" ht="15.75" hidden="false" customHeight="true" outlineLevel="0" collapsed="false">
      <c r="A478" s="19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customFormat="false" ht="15.75" hidden="false" customHeight="true" outlineLevel="0" collapsed="false">
      <c r="A479" s="19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customFormat="false" ht="15.75" hidden="false" customHeight="true" outlineLevel="0" collapsed="false">
      <c r="A480" s="19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customFormat="false" ht="15.75" hidden="false" customHeight="true" outlineLevel="0" collapsed="false">
      <c r="A481" s="19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customFormat="false" ht="15.75" hidden="false" customHeight="true" outlineLevel="0" collapsed="false">
      <c r="A482" s="19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customFormat="false" ht="15.75" hidden="false" customHeight="true" outlineLevel="0" collapsed="false">
      <c r="A483" s="19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customFormat="false" ht="15.75" hidden="false" customHeight="true" outlineLevel="0" collapsed="false">
      <c r="A484" s="19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customFormat="false" ht="15.75" hidden="false" customHeight="true" outlineLevel="0" collapsed="false">
      <c r="A485" s="19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customFormat="false" ht="15.75" hidden="false" customHeight="true" outlineLevel="0" collapsed="false">
      <c r="A486" s="19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customFormat="false" ht="15.75" hidden="false" customHeight="true" outlineLevel="0" collapsed="false">
      <c r="A487" s="19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customFormat="false" ht="15.75" hidden="false" customHeight="true" outlineLevel="0" collapsed="false">
      <c r="A488" s="19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customFormat="false" ht="15.75" hidden="false" customHeight="true" outlineLevel="0" collapsed="false">
      <c r="A489" s="19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customFormat="false" ht="15.75" hidden="false" customHeight="true" outlineLevel="0" collapsed="false">
      <c r="A490" s="19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customFormat="false" ht="15.75" hidden="false" customHeight="true" outlineLevel="0" collapsed="false">
      <c r="A491" s="19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customFormat="false" ht="15.75" hidden="false" customHeight="true" outlineLevel="0" collapsed="false">
      <c r="A492" s="19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customFormat="false" ht="15.75" hidden="false" customHeight="true" outlineLevel="0" collapsed="false">
      <c r="A493" s="19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customFormat="false" ht="15.75" hidden="false" customHeight="true" outlineLevel="0" collapsed="false">
      <c r="A494" s="19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customFormat="false" ht="15.75" hidden="false" customHeight="true" outlineLevel="0" collapsed="false">
      <c r="A495" s="19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customFormat="false" ht="15.75" hidden="false" customHeight="true" outlineLevel="0" collapsed="false">
      <c r="A496" s="19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customFormat="false" ht="15.75" hidden="false" customHeight="true" outlineLevel="0" collapsed="false">
      <c r="A497" s="19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customFormat="false" ht="15.75" hidden="false" customHeight="true" outlineLevel="0" collapsed="false">
      <c r="A498" s="19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customFormat="false" ht="15.75" hidden="false" customHeight="true" outlineLevel="0" collapsed="false">
      <c r="A499" s="19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customFormat="false" ht="15.75" hidden="false" customHeight="true" outlineLevel="0" collapsed="false">
      <c r="A500" s="19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customFormat="false" ht="15.75" hidden="false" customHeight="true" outlineLevel="0" collapsed="false">
      <c r="A501" s="19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customFormat="false" ht="15.75" hidden="false" customHeight="true" outlineLevel="0" collapsed="false">
      <c r="A502" s="19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customFormat="false" ht="15.75" hidden="false" customHeight="true" outlineLevel="0" collapsed="false">
      <c r="A503" s="19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customFormat="false" ht="15.75" hidden="false" customHeight="true" outlineLevel="0" collapsed="false">
      <c r="A504" s="19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customFormat="false" ht="15.75" hidden="false" customHeight="true" outlineLevel="0" collapsed="false">
      <c r="A505" s="19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customFormat="false" ht="15.75" hidden="false" customHeight="true" outlineLevel="0" collapsed="false">
      <c r="A506" s="19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customFormat="false" ht="15.75" hidden="false" customHeight="true" outlineLevel="0" collapsed="false">
      <c r="A507" s="19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customFormat="false" ht="15.75" hidden="false" customHeight="true" outlineLevel="0" collapsed="false">
      <c r="A508" s="19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customFormat="false" ht="15.75" hidden="false" customHeight="true" outlineLevel="0" collapsed="false">
      <c r="A509" s="19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customFormat="false" ht="15.75" hidden="false" customHeight="true" outlineLevel="0" collapsed="false">
      <c r="A510" s="19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customFormat="false" ht="15.75" hidden="false" customHeight="true" outlineLevel="0" collapsed="false">
      <c r="A511" s="19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customFormat="false" ht="15.75" hidden="false" customHeight="true" outlineLevel="0" collapsed="false">
      <c r="A512" s="19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customFormat="false" ht="15.75" hidden="false" customHeight="true" outlineLevel="0" collapsed="false">
      <c r="A513" s="19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customFormat="false" ht="15.75" hidden="false" customHeight="true" outlineLevel="0" collapsed="false">
      <c r="A514" s="19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customFormat="false" ht="15.75" hidden="false" customHeight="true" outlineLevel="0" collapsed="false">
      <c r="A515" s="19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customFormat="false" ht="15.75" hidden="false" customHeight="true" outlineLevel="0" collapsed="false">
      <c r="A516" s="19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customFormat="false" ht="15.75" hidden="false" customHeight="true" outlineLevel="0" collapsed="false">
      <c r="A517" s="19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customFormat="false" ht="15.75" hidden="false" customHeight="true" outlineLevel="0" collapsed="false">
      <c r="A518" s="19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customFormat="false" ht="15.75" hidden="false" customHeight="true" outlineLevel="0" collapsed="false">
      <c r="A519" s="19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customFormat="false" ht="15.75" hidden="false" customHeight="true" outlineLevel="0" collapsed="false">
      <c r="A520" s="19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customFormat="false" ht="15.75" hidden="false" customHeight="true" outlineLevel="0" collapsed="false">
      <c r="A521" s="19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customFormat="false" ht="15.75" hidden="false" customHeight="true" outlineLevel="0" collapsed="false">
      <c r="A522" s="19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customFormat="false" ht="15.75" hidden="false" customHeight="true" outlineLevel="0" collapsed="false">
      <c r="A523" s="19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customFormat="false" ht="15.75" hidden="false" customHeight="true" outlineLevel="0" collapsed="false">
      <c r="A524" s="19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customFormat="false" ht="15.75" hidden="false" customHeight="true" outlineLevel="0" collapsed="false">
      <c r="A525" s="19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customFormat="false" ht="15.75" hidden="false" customHeight="true" outlineLevel="0" collapsed="false">
      <c r="A526" s="19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customFormat="false" ht="15.75" hidden="false" customHeight="true" outlineLevel="0" collapsed="false">
      <c r="A527" s="19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customFormat="false" ht="15.75" hidden="false" customHeight="true" outlineLevel="0" collapsed="false">
      <c r="A528" s="19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customFormat="false" ht="15.75" hidden="false" customHeight="true" outlineLevel="0" collapsed="false">
      <c r="A529" s="19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customFormat="false" ht="15.75" hidden="false" customHeight="true" outlineLevel="0" collapsed="false">
      <c r="A530" s="19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customFormat="false" ht="15.75" hidden="false" customHeight="true" outlineLevel="0" collapsed="false">
      <c r="A531" s="19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customFormat="false" ht="15.75" hidden="false" customHeight="true" outlineLevel="0" collapsed="false">
      <c r="A532" s="19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customFormat="false" ht="15.75" hidden="false" customHeight="true" outlineLevel="0" collapsed="false">
      <c r="A533" s="19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customFormat="false" ht="15.75" hidden="false" customHeight="true" outlineLevel="0" collapsed="false">
      <c r="A534" s="19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customFormat="false" ht="15.75" hidden="false" customHeight="true" outlineLevel="0" collapsed="false">
      <c r="A535" s="19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customFormat="false" ht="15.75" hidden="false" customHeight="true" outlineLevel="0" collapsed="false">
      <c r="A536" s="19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customFormat="false" ht="15.75" hidden="false" customHeight="true" outlineLevel="0" collapsed="false">
      <c r="A537" s="19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customFormat="false" ht="15.75" hidden="false" customHeight="true" outlineLevel="0" collapsed="false">
      <c r="A538" s="19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customFormat="false" ht="15.75" hidden="false" customHeight="true" outlineLevel="0" collapsed="false">
      <c r="A539" s="19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customFormat="false" ht="15.75" hidden="false" customHeight="true" outlineLevel="0" collapsed="false">
      <c r="A540" s="19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customFormat="false" ht="15.75" hidden="false" customHeight="true" outlineLevel="0" collapsed="false">
      <c r="A541" s="19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customFormat="false" ht="15.75" hidden="false" customHeight="true" outlineLevel="0" collapsed="false">
      <c r="A542" s="19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customFormat="false" ht="15.75" hidden="false" customHeight="true" outlineLevel="0" collapsed="false">
      <c r="A543" s="19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customFormat="false" ht="15.75" hidden="false" customHeight="true" outlineLevel="0" collapsed="false">
      <c r="A544" s="19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customFormat="false" ht="15.75" hidden="false" customHeight="true" outlineLevel="0" collapsed="false">
      <c r="A545" s="19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customFormat="false" ht="15.75" hidden="false" customHeight="true" outlineLevel="0" collapsed="false">
      <c r="A546" s="19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customFormat="false" ht="15.75" hidden="false" customHeight="true" outlineLevel="0" collapsed="false">
      <c r="A547" s="19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customFormat="false" ht="15.75" hidden="false" customHeight="true" outlineLevel="0" collapsed="false">
      <c r="A548" s="19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customFormat="false" ht="15.75" hidden="false" customHeight="true" outlineLevel="0" collapsed="false">
      <c r="A549" s="19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customFormat="false" ht="15.75" hidden="false" customHeight="true" outlineLevel="0" collapsed="false">
      <c r="A550" s="19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customFormat="false" ht="15.75" hidden="false" customHeight="true" outlineLevel="0" collapsed="false">
      <c r="A551" s="19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customFormat="false" ht="15.75" hidden="false" customHeight="true" outlineLevel="0" collapsed="false">
      <c r="A552" s="19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customFormat="false" ht="15.75" hidden="false" customHeight="true" outlineLevel="0" collapsed="false">
      <c r="A553" s="19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customFormat="false" ht="15.75" hidden="false" customHeight="true" outlineLevel="0" collapsed="false">
      <c r="A554" s="19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customFormat="false" ht="15.75" hidden="false" customHeight="true" outlineLevel="0" collapsed="false">
      <c r="A555" s="19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customFormat="false" ht="15.75" hidden="false" customHeight="true" outlineLevel="0" collapsed="false">
      <c r="A556" s="19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customFormat="false" ht="15.75" hidden="false" customHeight="true" outlineLevel="0" collapsed="false">
      <c r="A557" s="19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customFormat="false" ht="15.75" hidden="false" customHeight="true" outlineLevel="0" collapsed="false">
      <c r="A558" s="19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customFormat="false" ht="15.75" hidden="false" customHeight="true" outlineLevel="0" collapsed="false">
      <c r="A559" s="19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customFormat="false" ht="15.75" hidden="false" customHeight="true" outlineLevel="0" collapsed="false">
      <c r="A560" s="19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customFormat="false" ht="15.75" hidden="false" customHeight="true" outlineLevel="0" collapsed="false">
      <c r="A561" s="19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customFormat="false" ht="15.75" hidden="false" customHeight="true" outlineLevel="0" collapsed="false">
      <c r="A562" s="19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customFormat="false" ht="15.75" hidden="false" customHeight="true" outlineLevel="0" collapsed="false">
      <c r="A563" s="19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customFormat="false" ht="15.75" hidden="false" customHeight="true" outlineLevel="0" collapsed="false">
      <c r="A564" s="19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customFormat="false" ht="15.75" hidden="false" customHeight="true" outlineLevel="0" collapsed="false">
      <c r="A565" s="19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customFormat="false" ht="15.75" hidden="false" customHeight="true" outlineLevel="0" collapsed="false">
      <c r="A566" s="19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customFormat="false" ht="15.75" hidden="false" customHeight="true" outlineLevel="0" collapsed="false">
      <c r="A567" s="19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customFormat="false" ht="15.75" hidden="false" customHeight="true" outlineLevel="0" collapsed="false">
      <c r="A568" s="19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customFormat="false" ht="15.75" hidden="false" customHeight="true" outlineLevel="0" collapsed="false">
      <c r="A569" s="19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customFormat="false" ht="15.75" hidden="false" customHeight="true" outlineLevel="0" collapsed="false">
      <c r="A570" s="19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customFormat="false" ht="15.75" hidden="false" customHeight="true" outlineLevel="0" collapsed="false">
      <c r="A571" s="19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customFormat="false" ht="15.75" hidden="false" customHeight="true" outlineLevel="0" collapsed="false">
      <c r="A572" s="19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customFormat="false" ht="15.75" hidden="false" customHeight="true" outlineLevel="0" collapsed="false">
      <c r="A573" s="19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customFormat="false" ht="15.75" hidden="false" customHeight="true" outlineLevel="0" collapsed="false">
      <c r="A574" s="19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customFormat="false" ht="15.75" hidden="false" customHeight="true" outlineLevel="0" collapsed="false">
      <c r="A575" s="19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customFormat="false" ht="15.75" hidden="false" customHeight="true" outlineLevel="0" collapsed="false">
      <c r="A576" s="19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customFormat="false" ht="15.75" hidden="false" customHeight="true" outlineLevel="0" collapsed="false">
      <c r="A577" s="19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customFormat="false" ht="15.75" hidden="false" customHeight="true" outlineLevel="0" collapsed="false">
      <c r="A578" s="19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customFormat="false" ht="15.75" hidden="false" customHeight="true" outlineLevel="0" collapsed="false">
      <c r="A579" s="19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customFormat="false" ht="15.75" hidden="false" customHeight="true" outlineLevel="0" collapsed="false">
      <c r="A580" s="19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customFormat="false" ht="15.75" hidden="false" customHeight="true" outlineLevel="0" collapsed="false">
      <c r="A581" s="19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customFormat="false" ht="15.75" hidden="false" customHeight="true" outlineLevel="0" collapsed="false">
      <c r="A582" s="19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customFormat="false" ht="15.75" hidden="false" customHeight="true" outlineLevel="0" collapsed="false">
      <c r="A583" s="19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customFormat="false" ht="15.75" hidden="false" customHeight="true" outlineLevel="0" collapsed="false">
      <c r="A584" s="19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customFormat="false" ht="15.75" hidden="false" customHeight="true" outlineLevel="0" collapsed="false">
      <c r="A585" s="19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customFormat="false" ht="15.75" hidden="false" customHeight="true" outlineLevel="0" collapsed="false">
      <c r="A586" s="19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customFormat="false" ht="15.75" hidden="false" customHeight="true" outlineLevel="0" collapsed="false">
      <c r="A587" s="19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customFormat="false" ht="15.75" hidden="false" customHeight="true" outlineLevel="0" collapsed="false">
      <c r="A588" s="19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customFormat="false" ht="15.75" hidden="false" customHeight="true" outlineLevel="0" collapsed="false">
      <c r="A589" s="19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customFormat="false" ht="15.75" hidden="false" customHeight="true" outlineLevel="0" collapsed="false">
      <c r="A590" s="19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customFormat="false" ht="15.75" hidden="false" customHeight="true" outlineLevel="0" collapsed="false">
      <c r="A591" s="19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customFormat="false" ht="15.75" hidden="false" customHeight="true" outlineLevel="0" collapsed="false">
      <c r="A592" s="19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customFormat="false" ht="15.75" hidden="false" customHeight="true" outlineLevel="0" collapsed="false">
      <c r="A593" s="19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customFormat="false" ht="15.75" hidden="false" customHeight="true" outlineLevel="0" collapsed="false">
      <c r="A594" s="19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customFormat="false" ht="15.75" hidden="false" customHeight="true" outlineLevel="0" collapsed="false">
      <c r="A595" s="19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customFormat="false" ht="15.75" hidden="false" customHeight="true" outlineLevel="0" collapsed="false">
      <c r="A596" s="19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customFormat="false" ht="15.75" hidden="false" customHeight="true" outlineLevel="0" collapsed="false">
      <c r="A597" s="19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customFormat="false" ht="15.75" hidden="false" customHeight="true" outlineLevel="0" collapsed="false">
      <c r="A598" s="19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customFormat="false" ht="15.75" hidden="false" customHeight="true" outlineLevel="0" collapsed="false">
      <c r="A599" s="19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customFormat="false" ht="15.75" hidden="false" customHeight="true" outlineLevel="0" collapsed="false">
      <c r="A600" s="19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customFormat="false" ht="15.75" hidden="false" customHeight="true" outlineLevel="0" collapsed="false">
      <c r="A601" s="19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customFormat="false" ht="15.75" hidden="false" customHeight="true" outlineLevel="0" collapsed="false">
      <c r="A602" s="19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customFormat="false" ht="15.75" hidden="false" customHeight="true" outlineLevel="0" collapsed="false">
      <c r="A603" s="19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customFormat="false" ht="15.75" hidden="false" customHeight="true" outlineLevel="0" collapsed="false">
      <c r="A604" s="19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customFormat="false" ht="15.75" hidden="false" customHeight="true" outlineLevel="0" collapsed="false">
      <c r="A605" s="19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customFormat="false" ht="15.75" hidden="false" customHeight="true" outlineLevel="0" collapsed="false">
      <c r="A606" s="19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customFormat="false" ht="15.75" hidden="false" customHeight="true" outlineLevel="0" collapsed="false">
      <c r="A607" s="19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customFormat="false" ht="15.75" hidden="false" customHeight="true" outlineLevel="0" collapsed="false">
      <c r="A608" s="19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customFormat="false" ht="15.75" hidden="false" customHeight="true" outlineLevel="0" collapsed="false">
      <c r="A609" s="19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customFormat="false" ht="15.75" hidden="false" customHeight="true" outlineLevel="0" collapsed="false">
      <c r="A610" s="19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customFormat="false" ht="15.75" hidden="false" customHeight="true" outlineLevel="0" collapsed="false">
      <c r="A611" s="19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customFormat="false" ht="15.75" hidden="false" customHeight="true" outlineLevel="0" collapsed="false">
      <c r="A612" s="19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customFormat="false" ht="15.75" hidden="false" customHeight="true" outlineLevel="0" collapsed="false">
      <c r="A613" s="19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customFormat="false" ht="15.75" hidden="false" customHeight="true" outlineLevel="0" collapsed="false">
      <c r="A614" s="19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customFormat="false" ht="15.75" hidden="false" customHeight="true" outlineLevel="0" collapsed="false">
      <c r="A615" s="19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customFormat="false" ht="15.75" hidden="false" customHeight="true" outlineLevel="0" collapsed="false">
      <c r="A616" s="19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customFormat="false" ht="15.75" hidden="false" customHeight="true" outlineLevel="0" collapsed="false">
      <c r="A617" s="19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customFormat="false" ht="15.75" hidden="false" customHeight="true" outlineLevel="0" collapsed="false">
      <c r="A618" s="19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customFormat="false" ht="15.75" hidden="false" customHeight="true" outlineLevel="0" collapsed="false">
      <c r="A619" s="19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customFormat="false" ht="15.75" hidden="false" customHeight="true" outlineLevel="0" collapsed="false">
      <c r="A620" s="19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customFormat="false" ht="15.75" hidden="false" customHeight="true" outlineLevel="0" collapsed="false">
      <c r="A621" s="19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customFormat="false" ht="15.75" hidden="false" customHeight="true" outlineLevel="0" collapsed="false">
      <c r="A622" s="19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customFormat="false" ht="15.75" hidden="false" customHeight="true" outlineLevel="0" collapsed="false">
      <c r="A623" s="19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customFormat="false" ht="15.75" hidden="false" customHeight="true" outlineLevel="0" collapsed="false">
      <c r="A624" s="19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customFormat="false" ht="15.75" hidden="false" customHeight="true" outlineLevel="0" collapsed="false">
      <c r="A625" s="19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customFormat="false" ht="15.75" hidden="false" customHeight="true" outlineLevel="0" collapsed="false">
      <c r="A626" s="19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customFormat="false" ht="15.75" hidden="false" customHeight="true" outlineLevel="0" collapsed="false">
      <c r="A627" s="19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customFormat="false" ht="15.75" hidden="false" customHeight="true" outlineLevel="0" collapsed="false">
      <c r="A628" s="19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customFormat="false" ht="15.75" hidden="false" customHeight="true" outlineLevel="0" collapsed="false">
      <c r="A629" s="19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customFormat="false" ht="15.75" hidden="false" customHeight="true" outlineLevel="0" collapsed="false">
      <c r="A630" s="19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customFormat="false" ht="15.75" hidden="false" customHeight="true" outlineLevel="0" collapsed="false">
      <c r="A631" s="19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customFormat="false" ht="15.75" hidden="false" customHeight="true" outlineLevel="0" collapsed="false">
      <c r="A632" s="19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customFormat="false" ht="15.75" hidden="false" customHeight="true" outlineLevel="0" collapsed="false">
      <c r="A633" s="19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customFormat="false" ht="15.75" hidden="false" customHeight="true" outlineLevel="0" collapsed="false">
      <c r="A634" s="19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customFormat="false" ht="15.75" hidden="false" customHeight="true" outlineLevel="0" collapsed="false">
      <c r="A635" s="19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customFormat="false" ht="15.75" hidden="false" customHeight="true" outlineLevel="0" collapsed="false">
      <c r="A636" s="19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customFormat="false" ht="15.75" hidden="false" customHeight="true" outlineLevel="0" collapsed="false">
      <c r="A637" s="19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customFormat="false" ht="15.75" hidden="false" customHeight="true" outlineLevel="0" collapsed="false">
      <c r="A638" s="19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customFormat="false" ht="15.75" hidden="false" customHeight="true" outlineLevel="0" collapsed="false">
      <c r="A639" s="19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customFormat="false" ht="15.75" hidden="false" customHeight="true" outlineLevel="0" collapsed="false">
      <c r="A640" s="19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customFormat="false" ht="15.75" hidden="false" customHeight="true" outlineLevel="0" collapsed="false">
      <c r="A641" s="19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customFormat="false" ht="15.75" hidden="false" customHeight="true" outlineLevel="0" collapsed="false">
      <c r="A642" s="19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customFormat="false" ht="15.75" hidden="false" customHeight="true" outlineLevel="0" collapsed="false">
      <c r="A643" s="19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customFormat="false" ht="15.75" hidden="false" customHeight="true" outlineLevel="0" collapsed="false">
      <c r="A644" s="19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customFormat="false" ht="15.75" hidden="false" customHeight="true" outlineLevel="0" collapsed="false">
      <c r="A645" s="19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customFormat="false" ht="15.75" hidden="false" customHeight="true" outlineLevel="0" collapsed="false">
      <c r="A646" s="19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customFormat="false" ht="15.75" hidden="false" customHeight="true" outlineLevel="0" collapsed="false">
      <c r="A647" s="19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customFormat="false" ht="15.75" hidden="false" customHeight="true" outlineLevel="0" collapsed="false">
      <c r="A648" s="19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customFormat="false" ht="15.75" hidden="false" customHeight="true" outlineLevel="0" collapsed="false">
      <c r="A649" s="19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customFormat="false" ht="15.75" hidden="false" customHeight="true" outlineLevel="0" collapsed="false">
      <c r="A650" s="19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customFormat="false" ht="15.75" hidden="false" customHeight="true" outlineLevel="0" collapsed="false">
      <c r="A651" s="19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customFormat="false" ht="15.75" hidden="false" customHeight="true" outlineLevel="0" collapsed="false">
      <c r="A652" s="19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customFormat="false" ht="15.75" hidden="false" customHeight="true" outlineLevel="0" collapsed="false">
      <c r="A653" s="19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customFormat="false" ht="15.75" hidden="false" customHeight="true" outlineLevel="0" collapsed="false">
      <c r="A654" s="19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customFormat="false" ht="15.75" hidden="false" customHeight="true" outlineLevel="0" collapsed="false">
      <c r="A655" s="19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customFormat="false" ht="15.75" hidden="false" customHeight="true" outlineLevel="0" collapsed="false">
      <c r="A656" s="19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customFormat="false" ht="15.75" hidden="false" customHeight="true" outlineLevel="0" collapsed="false">
      <c r="A657" s="19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customFormat="false" ht="15.75" hidden="false" customHeight="true" outlineLevel="0" collapsed="false">
      <c r="A658" s="19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customFormat="false" ht="15.75" hidden="false" customHeight="true" outlineLevel="0" collapsed="false">
      <c r="A659" s="19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customFormat="false" ht="15.75" hidden="false" customHeight="true" outlineLevel="0" collapsed="false">
      <c r="A660" s="19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customFormat="false" ht="15.75" hidden="false" customHeight="true" outlineLevel="0" collapsed="false">
      <c r="A661" s="19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customFormat="false" ht="15.75" hidden="false" customHeight="true" outlineLevel="0" collapsed="false">
      <c r="A662" s="19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customFormat="false" ht="15.75" hidden="false" customHeight="true" outlineLevel="0" collapsed="false">
      <c r="A663" s="19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customFormat="false" ht="15.75" hidden="false" customHeight="true" outlineLevel="0" collapsed="false">
      <c r="A664" s="19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customFormat="false" ht="15.75" hidden="false" customHeight="true" outlineLevel="0" collapsed="false">
      <c r="A665" s="19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customFormat="false" ht="15.75" hidden="false" customHeight="true" outlineLevel="0" collapsed="false">
      <c r="A666" s="19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customFormat="false" ht="15.75" hidden="false" customHeight="true" outlineLevel="0" collapsed="false">
      <c r="A667" s="19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customFormat="false" ht="15.75" hidden="false" customHeight="true" outlineLevel="0" collapsed="false">
      <c r="A668" s="19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customFormat="false" ht="15.75" hidden="false" customHeight="true" outlineLevel="0" collapsed="false">
      <c r="A669" s="19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customFormat="false" ht="15.75" hidden="false" customHeight="true" outlineLevel="0" collapsed="false">
      <c r="A670" s="19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customFormat="false" ht="15.75" hidden="false" customHeight="true" outlineLevel="0" collapsed="false">
      <c r="A671" s="19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customFormat="false" ht="15.75" hidden="false" customHeight="true" outlineLevel="0" collapsed="false">
      <c r="A672" s="19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customFormat="false" ht="15.75" hidden="false" customHeight="true" outlineLevel="0" collapsed="false">
      <c r="A673" s="19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customFormat="false" ht="15.75" hidden="false" customHeight="true" outlineLevel="0" collapsed="false">
      <c r="A674" s="19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customFormat="false" ht="15.75" hidden="false" customHeight="true" outlineLevel="0" collapsed="false">
      <c r="A675" s="19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customFormat="false" ht="15.75" hidden="false" customHeight="true" outlineLevel="0" collapsed="false">
      <c r="A676" s="19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customFormat="false" ht="15.75" hidden="false" customHeight="true" outlineLevel="0" collapsed="false">
      <c r="A677" s="19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customFormat="false" ht="15.75" hidden="false" customHeight="true" outlineLevel="0" collapsed="false">
      <c r="A678" s="19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customFormat="false" ht="15.75" hidden="false" customHeight="true" outlineLevel="0" collapsed="false">
      <c r="A679" s="19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customFormat="false" ht="15.75" hidden="false" customHeight="true" outlineLevel="0" collapsed="false">
      <c r="A680" s="19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customFormat="false" ht="15.75" hidden="false" customHeight="true" outlineLevel="0" collapsed="false">
      <c r="A681" s="19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customFormat="false" ht="15.75" hidden="false" customHeight="true" outlineLevel="0" collapsed="false">
      <c r="A682" s="19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customFormat="false" ht="15.75" hidden="false" customHeight="true" outlineLevel="0" collapsed="false">
      <c r="A683" s="19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customFormat="false" ht="15.75" hidden="false" customHeight="true" outlineLevel="0" collapsed="false">
      <c r="A684" s="19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customFormat="false" ht="15.75" hidden="false" customHeight="true" outlineLevel="0" collapsed="false">
      <c r="A685" s="19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customFormat="false" ht="15.75" hidden="false" customHeight="true" outlineLevel="0" collapsed="false">
      <c r="A686" s="19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customFormat="false" ht="15.75" hidden="false" customHeight="true" outlineLevel="0" collapsed="false">
      <c r="A687" s="19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customFormat="false" ht="15.75" hidden="false" customHeight="true" outlineLevel="0" collapsed="false">
      <c r="A688" s="19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customFormat="false" ht="15.75" hidden="false" customHeight="true" outlineLevel="0" collapsed="false">
      <c r="A689" s="19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customFormat="false" ht="15.75" hidden="false" customHeight="true" outlineLevel="0" collapsed="false">
      <c r="A690" s="19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customFormat="false" ht="15.75" hidden="false" customHeight="true" outlineLevel="0" collapsed="false">
      <c r="A691" s="19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customFormat="false" ht="15.75" hidden="false" customHeight="true" outlineLevel="0" collapsed="false">
      <c r="A692" s="19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customFormat="false" ht="15.75" hidden="false" customHeight="true" outlineLevel="0" collapsed="false">
      <c r="A693" s="19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customFormat="false" ht="15.75" hidden="false" customHeight="true" outlineLevel="0" collapsed="false">
      <c r="A694" s="19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customFormat="false" ht="15.75" hidden="false" customHeight="true" outlineLevel="0" collapsed="false">
      <c r="A695" s="19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customFormat="false" ht="15.75" hidden="false" customHeight="true" outlineLevel="0" collapsed="false">
      <c r="A696" s="19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customFormat="false" ht="15.75" hidden="false" customHeight="true" outlineLevel="0" collapsed="false">
      <c r="A697" s="19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customFormat="false" ht="15.75" hidden="false" customHeight="true" outlineLevel="0" collapsed="false">
      <c r="A698" s="19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customFormat="false" ht="15.75" hidden="false" customHeight="true" outlineLevel="0" collapsed="false">
      <c r="A699" s="19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customFormat="false" ht="15.75" hidden="false" customHeight="true" outlineLevel="0" collapsed="false">
      <c r="A700" s="19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customFormat="false" ht="15.75" hidden="false" customHeight="true" outlineLevel="0" collapsed="false">
      <c r="A701" s="19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customFormat="false" ht="15.75" hidden="false" customHeight="true" outlineLevel="0" collapsed="false">
      <c r="A702" s="19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customFormat="false" ht="15.75" hidden="false" customHeight="true" outlineLevel="0" collapsed="false">
      <c r="A703" s="19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customFormat="false" ht="15.75" hidden="false" customHeight="true" outlineLevel="0" collapsed="false">
      <c r="A704" s="19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customFormat="false" ht="15.75" hidden="false" customHeight="true" outlineLevel="0" collapsed="false">
      <c r="A705" s="19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customFormat="false" ht="15.75" hidden="false" customHeight="true" outlineLevel="0" collapsed="false">
      <c r="A706" s="19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customFormat="false" ht="15.75" hidden="false" customHeight="true" outlineLevel="0" collapsed="false">
      <c r="A707" s="19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customFormat="false" ht="15.75" hidden="false" customHeight="true" outlineLevel="0" collapsed="false">
      <c r="A708" s="19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customFormat="false" ht="15.75" hidden="false" customHeight="true" outlineLevel="0" collapsed="false">
      <c r="A709" s="19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customFormat="false" ht="15.75" hidden="false" customHeight="true" outlineLevel="0" collapsed="false">
      <c r="A710" s="19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customFormat="false" ht="15.75" hidden="false" customHeight="true" outlineLevel="0" collapsed="false">
      <c r="A711" s="19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customFormat="false" ht="15.75" hidden="false" customHeight="true" outlineLevel="0" collapsed="false">
      <c r="A712" s="19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customFormat="false" ht="15.75" hidden="false" customHeight="true" outlineLevel="0" collapsed="false">
      <c r="A713" s="19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customFormat="false" ht="15.75" hidden="false" customHeight="true" outlineLevel="0" collapsed="false">
      <c r="A714" s="19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customFormat="false" ht="15.75" hidden="false" customHeight="true" outlineLevel="0" collapsed="false">
      <c r="A715" s="19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customFormat="false" ht="15.75" hidden="false" customHeight="true" outlineLevel="0" collapsed="false">
      <c r="A716" s="19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customFormat="false" ht="15.75" hidden="false" customHeight="true" outlineLevel="0" collapsed="false">
      <c r="A717" s="19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customFormat="false" ht="15.75" hidden="false" customHeight="true" outlineLevel="0" collapsed="false">
      <c r="A718" s="19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customFormat="false" ht="15.75" hidden="false" customHeight="true" outlineLevel="0" collapsed="false">
      <c r="A719" s="19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customFormat="false" ht="15.75" hidden="false" customHeight="true" outlineLevel="0" collapsed="false">
      <c r="A720" s="19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customFormat="false" ht="15.75" hidden="false" customHeight="true" outlineLevel="0" collapsed="false">
      <c r="A721" s="19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customFormat="false" ht="15.75" hidden="false" customHeight="true" outlineLevel="0" collapsed="false">
      <c r="A722" s="19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customFormat="false" ht="15.75" hidden="false" customHeight="true" outlineLevel="0" collapsed="false">
      <c r="A723" s="19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customFormat="false" ht="15.75" hidden="false" customHeight="true" outlineLevel="0" collapsed="false">
      <c r="A724" s="19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customFormat="false" ht="15.75" hidden="false" customHeight="true" outlineLevel="0" collapsed="false">
      <c r="A725" s="19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customFormat="false" ht="15.75" hidden="false" customHeight="true" outlineLevel="0" collapsed="false">
      <c r="A726" s="19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customFormat="false" ht="15.75" hidden="false" customHeight="true" outlineLevel="0" collapsed="false">
      <c r="A727" s="19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customFormat="false" ht="15.75" hidden="false" customHeight="true" outlineLevel="0" collapsed="false">
      <c r="A728" s="19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customFormat="false" ht="15.75" hidden="false" customHeight="true" outlineLevel="0" collapsed="false">
      <c r="A729" s="19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customFormat="false" ht="15.75" hidden="false" customHeight="true" outlineLevel="0" collapsed="false">
      <c r="A730" s="19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customFormat="false" ht="15.75" hidden="false" customHeight="true" outlineLevel="0" collapsed="false">
      <c r="A731" s="19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customFormat="false" ht="15.75" hidden="false" customHeight="true" outlineLevel="0" collapsed="false">
      <c r="A732" s="19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customFormat="false" ht="15.75" hidden="false" customHeight="true" outlineLevel="0" collapsed="false">
      <c r="A733" s="19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customFormat="false" ht="15.75" hidden="false" customHeight="true" outlineLevel="0" collapsed="false">
      <c r="A734" s="19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customFormat="false" ht="15.75" hidden="false" customHeight="true" outlineLevel="0" collapsed="false">
      <c r="A735" s="19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customFormat="false" ht="15.75" hidden="false" customHeight="true" outlineLevel="0" collapsed="false">
      <c r="A736" s="19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customFormat="false" ht="15.75" hidden="false" customHeight="true" outlineLevel="0" collapsed="false">
      <c r="A737" s="19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customFormat="false" ht="15.75" hidden="false" customHeight="true" outlineLevel="0" collapsed="false">
      <c r="A738" s="19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customFormat="false" ht="15.75" hidden="false" customHeight="true" outlineLevel="0" collapsed="false">
      <c r="A739" s="19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customFormat="false" ht="15.75" hidden="false" customHeight="true" outlineLevel="0" collapsed="false">
      <c r="A740" s="19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customFormat="false" ht="15.75" hidden="false" customHeight="true" outlineLevel="0" collapsed="false">
      <c r="A741" s="19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customFormat="false" ht="15.75" hidden="false" customHeight="true" outlineLevel="0" collapsed="false">
      <c r="A742" s="19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customFormat="false" ht="15.75" hidden="false" customHeight="true" outlineLevel="0" collapsed="false">
      <c r="A743" s="19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customFormat="false" ht="15.75" hidden="false" customHeight="true" outlineLevel="0" collapsed="false">
      <c r="A744" s="19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customFormat="false" ht="15.75" hidden="false" customHeight="true" outlineLevel="0" collapsed="false">
      <c r="A745" s="19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customFormat="false" ht="15.75" hidden="false" customHeight="true" outlineLevel="0" collapsed="false">
      <c r="A746" s="19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customFormat="false" ht="15.75" hidden="false" customHeight="true" outlineLevel="0" collapsed="false">
      <c r="A747" s="19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customFormat="false" ht="15.75" hidden="false" customHeight="true" outlineLevel="0" collapsed="false">
      <c r="A748" s="19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customFormat="false" ht="15.75" hidden="false" customHeight="true" outlineLevel="0" collapsed="false">
      <c r="A749" s="19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customFormat="false" ht="15.75" hidden="false" customHeight="true" outlineLevel="0" collapsed="false">
      <c r="A750" s="19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customFormat="false" ht="15.75" hidden="false" customHeight="true" outlineLevel="0" collapsed="false">
      <c r="A751" s="19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customFormat="false" ht="15.75" hidden="false" customHeight="true" outlineLevel="0" collapsed="false">
      <c r="A752" s="19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customFormat="false" ht="15.75" hidden="false" customHeight="true" outlineLevel="0" collapsed="false">
      <c r="A753" s="19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customFormat="false" ht="15.75" hidden="false" customHeight="true" outlineLevel="0" collapsed="false">
      <c r="A754" s="19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customFormat="false" ht="15.75" hidden="false" customHeight="true" outlineLevel="0" collapsed="false">
      <c r="A755" s="19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customFormat="false" ht="15.75" hidden="false" customHeight="true" outlineLevel="0" collapsed="false">
      <c r="A756" s="19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customFormat="false" ht="15.75" hidden="false" customHeight="true" outlineLevel="0" collapsed="false">
      <c r="A757" s="19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customFormat="false" ht="15.75" hidden="false" customHeight="true" outlineLevel="0" collapsed="false">
      <c r="A758" s="19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customFormat="false" ht="15.75" hidden="false" customHeight="true" outlineLevel="0" collapsed="false">
      <c r="A759" s="19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customFormat="false" ht="15.75" hidden="false" customHeight="true" outlineLevel="0" collapsed="false">
      <c r="A760" s="19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customFormat="false" ht="15.75" hidden="false" customHeight="true" outlineLevel="0" collapsed="false">
      <c r="A761" s="19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customFormat="false" ht="15.75" hidden="false" customHeight="true" outlineLevel="0" collapsed="false">
      <c r="A762" s="19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customFormat="false" ht="15.75" hidden="false" customHeight="true" outlineLevel="0" collapsed="false">
      <c r="A763" s="19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customFormat="false" ht="15.75" hidden="false" customHeight="true" outlineLevel="0" collapsed="false">
      <c r="A764" s="19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customFormat="false" ht="15.75" hidden="false" customHeight="true" outlineLevel="0" collapsed="false">
      <c r="A765" s="19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customFormat="false" ht="15.75" hidden="false" customHeight="true" outlineLevel="0" collapsed="false">
      <c r="A766" s="19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customFormat="false" ht="15.75" hidden="false" customHeight="true" outlineLevel="0" collapsed="false">
      <c r="A767" s="19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customFormat="false" ht="15.75" hidden="false" customHeight="true" outlineLevel="0" collapsed="false">
      <c r="A768" s="19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customFormat="false" ht="15.75" hidden="false" customHeight="true" outlineLevel="0" collapsed="false">
      <c r="A769" s="19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customFormat="false" ht="15.75" hidden="false" customHeight="true" outlineLevel="0" collapsed="false">
      <c r="A770" s="19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customFormat="false" ht="15.75" hidden="false" customHeight="true" outlineLevel="0" collapsed="false">
      <c r="A771" s="19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customFormat="false" ht="15.75" hidden="false" customHeight="true" outlineLevel="0" collapsed="false">
      <c r="A772" s="19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customFormat="false" ht="15.75" hidden="false" customHeight="true" outlineLevel="0" collapsed="false">
      <c r="A773" s="19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customFormat="false" ht="15.75" hidden="false" customHeight="true" outlineLevel="0" collapsed="false">
      <c r="A774" s="19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customFormat="false" ht="15.75" hidden="false" customHeight="true" outlineLevel="0" collapsed="false">
      <c r="A775" s="19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customFormat="false" ht="15.75" hidden="false" customHeight="true" outlineLevel="0" collapsed="false">
      <c r="A776" s="19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customFormat="false" ht="15.75" hidden="false" customHeight="true" outlineLevel="0" collapsed="false">
      <c r="A777" s="19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customFormat="false" ht="15.75" hidden="false" customHeight="true" outlineLevel="0" collapsed="false">
      <c r="A778" s="19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customFormat="false" ht="15.75" hidden="false" customHeight="true" outlineLevel="0" collapsed="false">
      <c r="A779" s="19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customFormat="false" ht="15.75" hidden="false" customHeight="true" outlineLevel="0" collapsed="false">
      <c r="A780" s="19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customFormat="false" ht="15.75" hidden="false" customHeight="true" outlineLevel="0" collapsed="false">
      <c r="A781" s="19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customFormat="false" ht="15.75" hidden="false" customHeight="true" outlineLevel="0" collapsed="false">
      <c r="A782" s="19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customFormat="false" ht="15.75" hidden="false" customHeight="true" outlineLevel="0" collapsed="false">
      <c r="A783" s="19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customFormat="false" ht="15.75" hidden="false" customHeight="true" outlineLevel="0" collapsed="false">
      <c r="A784" s="19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customFormat="false" ht="15.75" hidden="false" customHeight="true" outlineLevel="0" collapsed="false">
      <c r="A785" s="19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customFormat="false" ht="15.75" hidden="false" customHeight="true" outlineLevel="0" collapsed="false">
      <c r="A786" s="19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customFormat="false" ht="15.75" hidden="false" customHeight="true" outlineLevel="0" collapsed="false">
      <c r="A787" s="19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customFormat="false" ht="15.75" hidden="false" customHeight="true" outlineLevel="0" collapsed="false">
      <c r="A788" s="19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customFormat="false" ht="15.75" hidden="false" customHeight="true" outlineLevel="0" collapsed="false">
      <c r="A789" s="19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customFormat="false" ht="15.75" hidden="false" customHeight="true" outlineLevel="0" collapsed="false">
      <c r="A790" s="19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customFormat="false" ht="15.75" hidden="false" customHeight="true" outlineLevel="0" collapsed="false">
      <c r="A791" s="19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customFormat="false" ht="15.75" hidden="false" customHeight="true" outlineLevel="0" collapsed="false">
      <c r="A792" s="19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customFormat="false" ht="15.75" hidden="false" customHeight="true" outlineLevel="0" collapsed="false">
      <c r="A793" s="19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customFormat="false" ht="15.75" hidden="false" customHeight="true" outlineLevel="0" collapsed="false">
      <c r="A794" s="19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customFormat="false" ht="15.75" hidden="false" customHeight="true" outlineLevel="0" collapsed="false">
      <c r="A795" s="19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customFormat="false" ht="15.75" hidden="false" customHeight="true" outlineLevel="0" collapsed="false">
      <c r="A796" s="19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customFormat="false" ht="15.75" hidden="false" customHeight="true" outlineLevel="0" collapsed="false">
      <c r="A797" s="19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customFormat="false" ht="15.75" hidden="false" customHeight="true" outlineLevel="0" collapsed="false">
      <c r="A798" s="19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customFormat="false" ht="15.75" hidden="false" customHeight="true" outlineLevel="0" collapsed="false">
      <c r="A799" s="19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customFormat="false" ht="15.75" hidden="false" customHeight="true" outlineLevel="0" collapsed="false">
      <c r="A800" s="19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customFormat="false" ht="15.75" hidden="false" customHeight="true" outlineLevel="0" collapsed="false">
      <c r="A801" s="19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customFormat="false" ht="15.75" hidden="false" customHeight="true" outlineLevel="0" collapsed="false">
      <c r="A802" s="19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customFormat="false" ht="15.75" hidden="false" customHeight="true" outlineLevel="0" collapsed="false">
      <c r="A803" s="19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customFormat="false" ht="15.75" hidden="false" customHeight="true" outlineLevel="0" collapsed="false">
      <c r="A804" s="19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customFormat="false" ht="15.75" hidden="false" customHeight="true" outlineLevel="0" collapsed="false">
      <c r="A805" s="19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customFormat="false" ht="15.75" hidden="false" customHeight="true" outlineLevel="0" collapsed="false">
      <c r="A806" s="19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customFormat="false" ht="15.75" hidden="false" customHeight="true" outlineLevel="0" collapsed="false">
      <c r="A807" s="19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customFormat="false" ht="15.75" hidden="false" customHeight="true" outlineLevel="0" collapsed="false">
      <c r="A808" s="19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customFormat="false" ht="15.75" hidden="false" customHeight="true" outlineLevel="0" collapsed="false">
      <c r="A809" s="19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customFormat="false" ht="15.75" hidden="false" customHeight="true" outlineLevel="0" collapsed="false">
      <c r="A810" s="19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customFormat="false" ht="15.75" hidden="false" customHeight="true" outlineLevel="0" collapsed="false">
      <c r="A811" s="19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customFormat="false" ht="15.75" hidden="false" customHeight="true" outlineLevel="0" collapsed="false">
      <c r="A812" s="19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customFormat="false" ht="15.75" hidden="false" customHeight="true" outlineLevel="0" collapsed="false">
      <c r="A813" s="19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customFormat="false" ht="15.75" hidden="false" customHeight="true" outlineLevel="0" collapsed="false">
      <c r="A814" s="19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customFormat="false" ht="15.75" hidden="false" customHeight="true" outlineLevel="0" collapsed="false">
      <c r="A815" s="19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customFormat="false" ht="15.75" hidden="false" customHeight="true" outlineLevel="0" collapsed="false">
      <c r="A816" s="19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customFormat="false" ht="15.75" hidden="false" customHeight="true" outlineLevel="0" collapsed="false">
      <c r="A817" s="19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customFormat="false" ht="15.75" hidden="false" customHeight="true" outlineLevel="0" collapsed="false">
      <c r="A818" s="19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customFormat="false" ht="15.75" hidden="false" customHeight="true" outlineLevel="0" collapsed="false">
      <c r="A819" s="19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customFormat="false" ht="15.75" hidden="false" customHeight="true" outlineLevel="0" collapsed="false">
      <c r="A820" s="19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customFormat="false" ht="15.75" hidden="false" customHeight="true" outlineLevel="0" collapsed="false">
      <c r="A821" s="19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customFormat="false" ht="15.75" hidden="false" customHeight="true" outlineLevel="0" collapsed="false">
      <c r="A822" s="19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customFormat="false" ht="15.75" hidden="false" customHeight="true" outlineLevel="0" collapsed="false">
      <c r="A823" s="19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customFormat="false" ht="15.75" hidden="false" customHeight="true" outlineLevel="0" collapsed="false">
      <c r="A824" s="19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customFormat="false" ht="15.75" hidden="false" customHeight="true" outlineLevel="0" collapsed="false">
      <c r="A825" s="19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customFormat="false" ht="15.75" hidden="false" customHeight="true" outlineLevel="0" collapsed="false">
      <c r="A826" s="19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customFormat="false" ht="15.75" hidden="false" customHeight="true" outlineLevel="0" collapsed="false">
      <c r="A827" s="19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customFormat="false" ht="15.75" hidden="false" customHeight="true" outlineLevel="0" collapsed="false">
      <c r="A828" s="19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customFormat="false" ht="15.75" hidden="false" customHeight="true" outlineLevel="0" collapsed="false">
      <c r="A829" s="19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customFormat="false" ht="15.75" hidden="false" customHeight="true" outlineLevel="0" collapsed="false">
      <c r="A830" s="19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customFormat="false" ht="15.75" hidden="false" customHeight="true" outlineLevel="0" collapsed="false">
      <c r="A831" s="19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customFormat="false" ht="15.75" hidden="false" customHeight="true" outlineLevel="0" collapsed="false">
      <c r="A832" s="19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customFormat="false" ht="15.75" hidden="false" customHeight="true" outlineLevel="0" collapsed="false">
      <c r="A833" s="19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customFormat="false" ht="15.75" hidden="false" customHeight="true" outlineLevel="0" collapsed="false">
      <c r="A834" s="19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customFormat="false" ht="15.75" hidden="false" customHeight="true" outlineLevel="0" collapsed="false">
      <c r="A835" s="19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customFormat="false" ht="15.75" hidden="false" customHeight="true" outlineLevel="0" collapsed="false">
      <c r="A836" s="19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customFormat="false" ht="15.75" hidden="false" customHeight="true" outlineLevel="0" collapsed="false">
      <c r="A837" s="19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customFormat="false" ht="15.75" hidden="false" customHeight="true" outlineLevel="0" collapsed="false">
      <c r="A838" s="19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customFormat="false" ht="15.75" hidden="false" customHeight="true" outlineLevel="0" collapsed="false">
      <c r="A839" s="19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customFormat="false" ht="15.75" hidden="false" customHeight="true" outlineLevel="0" collapsed="false">
      <c r="A840" s="19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customFormat="false" ht="15.75" hidden="false" customHeight="true" outlineLevel="0" collapsed="false">
      <c r="A841" s="19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customFormat="false" ht="15.75" hidden="false" customHeight="true" outlineLevel="0" collapsed="false">
      <c r="A842" s="19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customFormat="false" ht="15.75" hidden="false" customHeight="true" outlineLevel="0" collapsed="false">
      <c r="A843" s="19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customFormat="false" ht="15.75" hidden="false" customHeight="true" outlineLevel="0" collapsed="false">
      <c r="A844" s="19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customFormat="false" ht="15.75" hidden="false" customHeight="true" outlineLevel="0" collapsed="false">
      <c r="A845" s="19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customFormat="false" ht="15.75" hidden="false" customHeight="true" outlineLevel="0" collapsed="false">
      <c r="A846" s="19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customFormat="false" ht="15.75" hidden="false" customHeight="true" outlineLevel="0" collapsed="false">
      <c r="A847" s="19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customFormat="false" ht="15.75" hidden="false" customHeight="true" outlineLevel="0" collapsed="false">
      <c r="A848" s="19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customFormat="false" ht="15.75" hidden="false" customHeight="true" outlineLevel="0" collapsed="false">
      <c r="A849" s="19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customFormat="false" ht="15.75" hidden="false" customHeight="true" outlineLevel="0" collapsed="false">
      <c r="A850" s="19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customFormat="false" ht="15.75" hidden="false" customHeight="true" outlineLevel="0" collapsed="false">
      <c r="A851" s="19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customFormat="false" ht="15.75" hidden="false" customHeight="true" outlineLevel="0" collapsed="false">
      <c r="A852" s="19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customFormat="false" ht="15.75" hidden="false" customHeight="true" outlineLevel="0" collapsed="false">
      <c r="A853" s="19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customFormat="false" ht="15.75" hidden="false" customHeight="true" outlineLevel="0" collapsed="false">
      <c r="A854" s="19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customFormat="false" ht="15.75" hidden="false" customHeight="true" outlineLevel="0" collapsed="false">
      <c r="A855" s="19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customFormat="false" ht="15.75" hidden="false" customHeight="true" outlineLevel="0" collapsed="false">
      <c r="A856" s="19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customFormat="false" ht="15.75" hidden="false" customHeight="true" outlineLevel="0" collapsed="false">
      <c r="A857" s="19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customFormat="false" ht="15.75" hidden="false" customHeight="true" outlineLevel="0" collapsed="false">
      <c r="A858" s="19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customFormat="false" ht="15.75" hidden="false" customHeight="true" outlineLevel="0" collapsed="false">
      <c r="A859" s="19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customFormat="false" ht="15.75" hidden="false" customHeight="true" outlineLevel="0" collapsed="false">
      <c r="A860" s="19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customFormat="false" ht="15.75" hidden="false" customHeight="true" outlineLevel="0" collapsed="false">
      <c r="A861" s="19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customFormat="false" ht="15.75" hidden="false" customHeight="true" outlineLevel="0" collapsed="false">
      <c r="A862" s="19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customFormat="false" ht="15.75" hidden="false" customHeight="true" outlineLevel="0" collapsed="false">
      <c r="A863" s="19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customFormat="false" ht="15.75" hidden="false" customHeight="true" outlineLevel="0" collapsed="false">
      <c r="A864" s="19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customFormat="false" ht="15.75" hidden="false" customHeight="true" outlineLevel="0" collapsed="false">
      <c r="A865" s="19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customFormat="false" ht="15.75" hidden="false" customHeight="true" outlineLevel="0" collapsed="false">
      <c r="A866" s="19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customFormat="false" ht="15.75" hidden="false" customHeight="true" outlineLevel="0" collapsed="false">
      <c r="A867" s="19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customFormat="false" ht="15.75" hidden="false" customHeight="true" outlineLevel="0" collapsed="false">
      <c r="A868" s="19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customFormat="false" ht="15.75" hidden="false" customHeight="true" outlineLevel="0" collapsed="false">
      <c r="A869" s="19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customFormat="false" ht="15.75" hidden="false" customHeight="true" outlineLevel="0" collapsed="false">
      <c r="A870" s="19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customFormat="false" ht="15.75" hidden="false" customHeight="true" outlineLevel="0" collapsed="false">
      <c r="A871" s="19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customFormat="false" ht="15.75" hidden="false" customHeight="true" outlineLevel="0" collapsed="false">
      <c r="A872" s="19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customFormat="false" ht="15.75" hidden="false" customHeight="true" outlineLevel="0" collapsed="false">
      <c r="A873" s="19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customFormat="false" ht="15.75" hidden="false" customHeight="true" outlineLevel="0" collapsed="false">
      <c r="A874" s="19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customFormat="false" ht="15.75" hidden="false" customHeight="true" outlineLevel="0" collapsed="false">
      <c r="A875" s="19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customFormat="false" ht="15.75" hidden="false" customHeight="true" outlineLevel="0" collapsed="false">
      <c r="A876" s="19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customFormat="false" ht="15.75" hidden="false" customHeight="true" outlineLevel="0" collapsed="false">
      <c r="A877" s="19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customFormat="false" ht="15.75" hidden="false" customHeight="true" outlineLevel="0" collapsed="false">
      <c r="A878" s="19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customFormat="false" ht="15.75" hidden="false" customHeight="true" outlineLevel="0" collapsed="false">
      <c r="A879" s="19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customFormat="false" ht="15.75" hidden="false" customHeight="true" outlineLevel="0" collapsed="false">
      <c r="A880" s="19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customFormat="false" ht="15.75" hidden="false" customHeight="true" outlineLevel="0" collapsed="false">
      <c r="A881" s="19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customFormat="false" ht="15.75" hidden="false" customHeight="true" outlineLevel="0" collapsed="false">
      <c r="A882" s="19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customFormat="false" ht="15.75" hidden="false" customHeight="true" outlineLevel="0" collapsed="false">
      <c r="A883" s="19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customFormat="false" ht="15.75" hidden="false" customHeight="true" outlineLevel="0" collapsed="false">
      <c r="A884" s="19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customFormat="false" ht="15.75" hidden="false" customHeight="true" outlineLevel="0" collapsed="false">
      <c r="A885" s="19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customFormat="false" ht="15.75" hidden="false" customHeight="true" outlineLevel="0" collapsed="false">
      <c r="A886" s="19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customFormat="false" ht="15.75" hidden="false" customHeight="true" outlineLevel="0" collapsed="false">
      <c r="A887" s="19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customFormat="false" ht="15.75" hidden="false" customHeight="true" outlineLevel="0" collapsed="false">
      <c r="A888" s="19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customFormat="false" ht="15.75" hidden="false" customHeight="true" outlineLevel="0" collapsed="false">
      <c r="A889" s="19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customFormat="false" ht="15.75" hidden="false" customHeight="true" outlineLevel="0" collapsed="false">
      <c r="A890" s="19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customFormat="false" ht="15.75" hidden="false" customHeight="true" outlineLevel="0" collapsed="false">
      <c r="A891" s="19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customFormat="false" ht="15.75" hidden="false" customHeight="true" outlineLevel="0" collapsed="false">
      <c r="A892" s="19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customFormat="false" ht="15.75" hidden="false" customHeight="true" outlineLevel="0" collapsed="false">
      <c r="A893" s="19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customFormat="false" ht="15.75" hidden="false" customHeight="true" outlineLevel="0" collapsed="false">
      <c r="A894" s="19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customFormat="false" ht="15.75" hidden="false" customHeight="true" outlineLevel="0" collapsed="false">
      <c r="A895" s="19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customFormat="false" ht="15.75" hidden="false" customHeight="true" outlineLevel="0" collapsed="false">
      <c r="A896" s="19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customFormat="false" ht="15.75" hidden="false" customHeight="true" outlineLevel="0" collapsed="false">
      <c r="A897" s="19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customFormat="false" ht="15.75" hidden="false" customHeight="true" outlineLevel="0" collapsed="false">
      <c r="A898" s="19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customFormat="false" ht="15.75" hidden="false" customHeight="true" outlineLevel="0" collapsed="false">
      <c r="A899" s="19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customFormat="false" ht="15.75" hidden="false" customHeight="true" outlineLevel="0" collapsed="false">
      <c r="A900" s="19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customFormat="false" ht="15.75" hidden="false" customHeight="true" outlineLevel="0" collapsed="false">
      <c r="A901" s="19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customFormat="false" ht="15.75" hidden="false" customHeight="true" outlineLevel="0" collapsed="false">
      <c r="A902" s="19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customFormat="false" ht="15.75" hidden="false" customHeight="true" outlineLevel="0" collapsed="false">
      <c r="A903" s="19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customFormat="false" ht="15.75" hidden="false" customHeight="true" outlineLevel="0" collapsed="false">
      <c r="A904" s="19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customFormat="false" ht="15.75" hidden="false" customHeight="true" outlineLevel="0" collapsed="false">
      <c r="A905" s="19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customFormat="false" ht="15.75" hidden="false" customHeight="true" outlineLevel="0" collapsed="false">
      <c r="A906" s="19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customFormat="false" ht="15.75" hidden="false" customHeight="true" outlineLevel="0" collapsed="false">
      <c r="A907" s="19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customFormat="false" ht="15.75" hidden="false" customHeight="true" outlineLevel="0" collapsed="false">
      <c r="A908" s="19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customFormat="false" ht="15.75" hidden="false" customHeight="true" outlineLevel="0" collapsed="false">
      <c r="A909" s="19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customFormat="false" ht="15.75" hidden="false" customHeight="true" outlineLevel="0" collapsed="false">
      <c r="A910" s="19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customFormat="false" ht="15.75" hidden="false" customHeight="true" outlineLevel="0" collapsed="false">
      <c r="A911" s="19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customFormat="false" ht="15.75" hidden="false" customHeight="true" outlineLevel="0" collapsed="false">
      <c r="A912" s="19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customFormat="false" ht="15.75" hidden="false" customHeight="true" outlineLevel="0" collapsed="false">
      <c r="A913" s="19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customFormat="false" ht="15.75" hidden="false" customHeight="true" outlineLevel="0" collapsed="false">
      <c r="A914" s="19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customFormat="false" ht="15.75" hidden="false" customHeight="true" outlineLevel="0" collapsed="false">
      <c r="A915" s="19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customFormat="false" ht="15.75" hidden="false" customHeight="true" outlineLevel="0" collapsed="false">
      <c r="A916" s="19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customFormat="false" ht="15.75" hidden="false" customHeight="true" outlineLevel="0" collapsed="false">
      <c r="A917" s="19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customFormat="false" ht="15.75" hidden="false" customHeight="true" outlineLevel="0" collapsed="false">
      <c r="A918" s="19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customFormat="false" ht="15.75" hidden="false" customHeight="true" outlineLevel="0" collapsed="false">
      <c r="A919" s="19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customFormat="false" ht="15.75" hidden="false" customHeight="true" outlineLevel="0" collapsed="false">
      <c r="A920" s="19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customFormat="false" ht="15.75" hidden="false" customHeight="true" outlineLevel="0" collapsed="false">
      <c r="A921" s="19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customFormat="false" ht="15.75" hidden="false" customHeight="true" outlineLevel="0" collapsed="false">
      <c r="A922" s="19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customFormat="false" ht="15.75" hidden="false" customHeight="true" outlineLevel="0" collapsed="false">
      <c r="A923" s="19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customFormat="false" ht="15.75" hidden="false" customHeight="true" outlineLevel="0" collapsed="false">
      <c r="A924" s="19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customFormat="false" ht="15.75" hidden="false" customHeight="true" outlineLevel="0" collapsed="false">
      <c r="A925" s="19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customFormat="false" ht="15.75" hidden="false" customHeight="true" outlineLevel="0" collapsed="false">
      <c r="A926" s="19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customFormat="false" ht="15.75" hidden="false" customHeight="true" outlineLevel="0" collapsed="false">
      <c r="A927" s="19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customFormat="false" ht="15.75" hidden="false" customHeight="true" outlineLevel="0" collapsed="false">
      <c r="A928" s="19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customFormat="false" ht="15.75" hidden="false" customHeight="true" outlineLevel="0" collapsed="false">
      <c r="A929" s="19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customFormat="false" ht="15.75" hidden="false" customHeight="true" outlineLevel="0" collapsed="false">
      <c r="A930" s="19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customFormat="false" ht="15.75" hidden="false" customHeight="true" outlineLevel="0" collapsed="false">
      <c r="A931" s="19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customFormat="false" ht="15.75" hidden="false" customHeight="true" outlineLevel="0" collapsed="false">
      <c r="A932" s="19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customFormat="false" ht="15.75" hidden="false" customHeight="true" outlineLevel="0" collapsed="false">
      <c r="A933" s="19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customFormat="false" ht="15.75" hidden="false" customHeight="true" outlineLevel="0" collapsed="false">
      <c r="A934" s="19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customFormat="false" ht="15.75" hidden="false" customHeight="true" outlineLevel="0" collapsed="false">
      <c r="A935" s="19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customFormat="false" ht="15.75" hidden="false" customHeight="true" outlineLevel="0" collapsed="false">
      <c r="A936" s="19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customFormat="false" ht="15.75" hidden="false" customHeight="true" outlineLevel="0" collapsed="false">
      <c r="A937" s="19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customFormat="false" ht="15.75" hidden="false" customHeight="true" outlineLevel="0" collapsed="false">
      <c r="A938" s="19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customFormat="false" ht="15.75" hidden="false" customHeight="true" outlineLevel="0" collapsed="false">
      <c r="A939" s="19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customFormat="false" ht="15.75" hidden="false" customHeight="true" outlineLevel="0" collapsed="false">
      <c r="A940" s="19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customFormat="false" ht="15.75" hidden="false" customHeight="true" outlineLevel="0" collapsed="false">
      <c r="A941" s="19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customFormat="false" ht="15.75" hidden="false" customHeight="true" outlineLevel="0" collapsed="false">
      <c r="A942" s="19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customFormat="false" ht="15.75" hidden="false" customHeight="true" outlineLevel="0" collapsed="false">
      <c r="A943" s="19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customFormat="false" ht="15.75" hidden="false" customHeight="true" outlineLevel="0" collapsed="false">
      <c r="A944" s="19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customFormat="false" ht="15.75" hidden="false" customHeight="true" outlineLevel="0" collapsed="false">
      <c r="A945" s="19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customFormat="false" ht="15.75" hidden="false" customHeight="true" outlineLevel="0" collapsed="false">
      <c r="A946" s="19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customFormat="false" ht="15.75" hidden="false" customHeight="true" outlineLevel="0" collapsed="false">
      <c r="A947" s="19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customFormat="false" ht="15.75" hidden="false" customHeight="true" outlineLevel="0" collapsed="false">
      <c r="A948" s="19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customFormat="false" ht="15.75" hidden="false" customHeight="true" outlineLevel="0" collapsed="false">
      <c r="A949" s="19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customFormat="false" ht="15.75" hidden="false" customHeight="true" outlineLevel="0" collapsed="false">
      <c r="A950" s="19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customFormat="false" ht="15.75" hidden="false" customHeight="true" outlineLevel="0" collapsed="false">
      <c r="A951" s="19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customFormat="false" ht="15.75" hidden="false" customHeight="true" outlineLevel="0" collapsed="false">
      <c r="A952" s="19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customFormat="false" ht="15.75" hidden="false" customHeight="true" outlineLevel="0" collapsed="false">
      <c r="A953" s="19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customFormat="false" ht="15.75" hidden="false" customHeight="true" outlineLevel="0" collapsed="false">
      <c r="A954" s="19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customFormat="false" ht="15.75" hidden="false" customHeight="true" outlineLevel="0" collapsed="false">
      <c r="A955" s="19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customFormat="false" ht="15.75" hidden="false" customHeight="true" outlineLevel="0" collapsed="false">
      <c r="A956" s="19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customFormat="false" ht="15.75" hidden="false" customHeight="true" outlineLevel="0" collapsed="false">
      <c r="A957" s="19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customFormat="false" ht="15.75" hidden="false" customHeight="true" outlineLevel="0" collapsed="false">
      <c r="A958" s="19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customFormat="false" ht="15.75" hidden="false" customHeight="true" outlineLevel="0" collapsed="false">
      <c r="A959" s="19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customFormat="false" ht="15.75" hidden="false" customHeight="true" outlineLevel="0" collapsed="false">
      <c r="A960" s="19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customFormat="false" ht="15.75" hidden="false" customHeight="true" outlineLevel="0" collapsed="false">
      <c r="A961" s="19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customFormat="false" ht="15.75" hidden="false" customHeight="true" outlineLevel="0" collapsed="false">
      <c r="A962" s="19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customFormat="false" ht="15.75" hidden="false" customHeight="true" outlineLevel="0" collapsed="false">
      <c r="A963" s="19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customFormat="false" ht="15.75" hidden="false" customHeight="true" outlineLevel="0" collapsed="false">
      <c r="A964" s="19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customFormat="false" ht="15.75" hidden="false" customHeight="true" outlineLevel="0" collapsed="false">
      <c r="A965" s="19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customFormat="false" ht="15.75" hidden="false" customHeight="true" outlineLevel="0" collapsed="false">
      <c r="A966" s="19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customFormat="false" ht="15.75" hidden="false" customHeight="true" outlineLevel="0" collapsed="false">
      <c r="A967" s="19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customFormat="false" ht="15.75" hidden="false" customHeight="true" outlineLevel="0" collapsed="false">
      <c r="A968" s="19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customFormat="false" ht="15.75" hidden="false" customHeight="true" outlineLevel="0" collapsed="false">
      <c r="A969" s="19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customFormat="false" ht="15.75" hidden="false" customHeight="true" outlineLevel="0" collapsed="false">
      <c r="A970" s="19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customFormat="false" ht="15.75" hidden="false" customHeight="true" outlineLevel="0" collapsed="false">
      <c r="A971" s="19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customFormat="false" ht="15.75" hidden="false" customHeight="true" outlineLevel="0" collapsed="false">
      <c r="A972" s="19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customFormat="false" ht="15.75" hidden="false" customHeight="true" outlineLevel="0" collapsed="false">
      <c r="A973" s="19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customFormat="false" ht="15.75" hidden="false" customHeight="true" outlineLevel="0" collapsed="false">
      <c r="A974" s="19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customFormat="false" ht="15.75" hidden="false" customHeight="true" outlineLevel="0" collapsed="false">
      <c r="A975" s="19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customFormat="false" ht="15.75" hidden="false" customHeight="true" outlineLevel="0" collapsed="false">
      <c r="A976" s="19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customFormat="false" ht="15.75" hidden="false" customHeight="true" outlineLevel="0" collapsed="false">
      <c r="A977" s="19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customFormat="false" ht="15.75" hidden="false" customHeight="true" outlineLevel="0" collapsed="false">
      <c r="A978" s="19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customFormat="false" ht="15.75" hidden="false" customHeight="true" outlineLevel="0" collapsed="false">
      <c r="A979" s="19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customFormat="false" ht="15.75" hidden="false" customHeight="true" outlineLevel="0" collapsed="false">
      <c r="A980" s="19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customFormat="false" ht="15.75" hidden="false" customHeight="true" outlineLevel="0" collapsed="false">
      <c r="A981" s="19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customFormat="false" ht="15.75" hidden="false" customHeight="true" outlineLevel="0" collapsed="false">
      <c r="A982" s="19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customFormat="false" ht="15.75" hidden="false" customHeight="true" outlineLevel="0" collapsed="false">
      <c r="A983" s="19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customFormat="false" ht="15.75" hidden="false" customHeight="true" outlineLevel="0" collapsed="false">
      <c r="A984" s="19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customFormat="false" ht="15.75" hidden="false" customHeight="true" outlineLevel="0" collapsed="false">
      <c r="A985" s="19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customFormat="false" ht="15.75" hidden="false" customHeight="true" outlineLevel="0" collapsed="false">
      <c r="A986" s="19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customFormat="false" ht="15.75" hidden="false" customHeight="true" outlineLevel="0" collapsed="false">
      <c r="A987" s="19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customFormat="false" ht="15.75" hidden="false" customHeight="true" outlineLevel="0" collapsed="false">
      <c r="A988" s="19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customFormat="false" ht="15.75" hidden="false" customHeight="true" outlineLevel="0" collapsed="false">
      <c r="A989" s="19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customFormat="false" ht="15.75" hidden="false" customHeight="true" outlineLevel="0" collapsed="false">
      <c r="A990" s="19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customFormat="false" ht="15.75" hidden="false" customHeight="true" outlineLevel="0" collapsed="false">
      <c r="A991" s="19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customFormat="false" ht="15.75" hidden="false" customHeight="true" outlineLevel="0" collapsed="false">
      <c r="A992" s="19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customFormat="false" ht="15.75" hidden="false" customHeight="true" outlineLevel="0" collapsed="false">
      <c r="A993" s="19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customFormat="false" ht="15.75" hidden="false" customHeight="true" outlineLevel="0" collapsed="false">
      <c r="A994" s="19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customFormat="false" ht="15.75" hidden="false" customHeight="true" outlineLevel="0" collapsed="false">
      <c r="A995" s="19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customFormat="false" ht="15.75" hidden="false" customHeight="true" outlineLevel="0" collapsed="false">
      <c r="A996" s="19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customFormat="false" ht="15.75" hidden="false" customHeight="true" outlineLevel="0" collapsed="false">
      <c r="A997" s="19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customFormat="false" ht="15.75" hidden="false" customHeight="true" outlineLevel="0" collapsed="false">
      <c r="A998" s="19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 customFormat="false" ht="15.75" hidden="false" customHeight="true" outlineLevel="0" collapsed="false">
      <c r="A999" s="19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 customFormat="false" ht="15.75" hidden="false" customHeight="true" outlineLevel="0" collapsed="false">
      <c r="A1000" s="19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 customFormat="false" ht="15.75" hidden="false" customHeight="true" outlineLevel="0" collapsed="false">
      <c r="A1001" s="19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  <row r="1002" customFormat="false" ht="15.75" hidden="false" customHeight="true" outlineLevel="0" collapsed="false">
      <c r="A1002" s="19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</row>
    <row r="1003" customFormat="false" ht="15.75" hidden="false" customHeight="true" outlineLevel="0" collapsed="false">
      <c r="A1003" s="19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</row>
    <row r="1004" customFormat="false" ht="15.75" hidden="false" customHeight="true" outlineLevel="0" collapsed="false">
      <c r="A1004" s="19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</row>
    <row r="1005" customFormat="false" ht="15.75" hidden="false" customHeight="true" outlineLevel="0" collapsed="false">
      <c r="A1005" s="19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</row>
    <row r="1006" customFormat="false" ht="15.75" hidden="false" customHeight="true" outlineLevel="0" collapsed="false">
      <c r="A1006" s="19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</row>
    <row r="1007" customFormat="false" ht="15.75" hidden="false" customHeight="true" outlineLevel="0" collapsed="false">
      <c r="A1007" s="19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</row>
    <row r="1008" customFormat="false" ht="15.75" hidden="false" customHeight="true" outlineLevel="0" collapsed="false">
      <c r="A1008" s="19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</row>
    <row r="1009" customFormat="false" ht="15.75" hidden="false" customHeight="true" outlineLevel="0" collapsed="false">
      <c r="A1009" s="19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</row>
    <row r="1010" customFormat="false" ht="15.75" hidden="false" customHeight="true" outlineLevel="0" collapsed="false">
      <c r="A1010" s="19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</row>
    <row r="1011" customFormat="false" ht="15.75" hidden="false" customHeight="true" outlineLevel="0" collapsed="false">
      <c r="A1011" s="19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</row>
    <row r="1012" customFormat="false" ht="15.75" hidden="false" customHeight="true" outlineLevel="0" collapsed="false">
      <c r="A1012" s="19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</row>
    <row r="1013" customFormat="false" ht="15.75" hidden="false" customHeight="true" outlineLevel="0" collapsed="false">
      <c r="A1013" s="19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</row>
    <row r="1014" customFormat="false" ht="15.75" hidden="false" customHeight="true" outlineLevel="0" collapsed="false">
      <c r="A1014" s="19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</row>
    <row r="1015" customFormat="false" ht="15.75" hidden="false" customHeight="true" outlineLevel="0" collapsed="false">
      <c r="A1015" s="19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</row>
    <row r="1016" customFormat="false" ht="15.75" hidden="false" customHeight="true" outlineLevel="0" collapsed="false">
      <c r="A1016" s="19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</row>
    <row r="1017" customFormat="false" ht="15.75" hidden="false" customHeight="true" outlineLevel="0" collapsed="false">
      <c r="A1017" s="19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</row>
    <row r="1018" customFormat="false" ht="15.75" hidden="false" customHeight="true" outlineLevel="0" collapsed="false">
      <c r="A1018" s="19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</row>
    <row r="1019" customFormat="false" ht="15.75" hidden="false" customHeight="true" outlineLevel="0" collapsed="false">
      <c r="A1019" s="19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</row>
    <row r="1020" customFormat="false" ht="15.75" hidden="false" customHeight="true" outlineLevel="0" collapsed="false">
      <c r="A1020" s="19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</row>
    <row r="1021" customFormat="false" ht="15.75" hidden="false" customHeight="true" outlineLevel="0" collapsed="false">
      <c r="A1021" s="19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</row>
    <row r="1022" customFormat="false" ht="15.75" hidden="false" customHeight="true" outlineLevel="0" collapsed="false">
      <c r="A1022" s="19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</row>
    <row r="1023" customFormat="false" ht="15.75" hidden="false" customHeight="true" outlineLevel="0" collapsed="false">
      <c r="A1023" s="19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</row>
    <row r="1024" customFormat="false" ht="15.75" hidden="false" customHeight="true" outlineLevel="0" collapsed="false">
      <c r="A1024" s="19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</row>
    <row r="1025" customFormat="false" ht="15.75" hidden="false" customHeight="true" outlineLevel="0" collapsed="false">
      <c r="A1025" s="19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</row>
    <row r="1026" customFormat="false" ht="15.75" hidden="false" customHeight="true" outlineLevel="0" collapsed="false">
      <c r="A1026" s="19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</row>
    <row r="1027" customFormat="false" ht="15.75" hidden="false" customHeight="true" outlineLevel="0" collapsed="false">
      <c r="A1027" s="19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</row>
    <row r="1028" customFormat="false" ht="15.75" hidden="false" customHeight="true" outlineLevel="0" collapsed="false">
      <c r="A1028" s="19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</row>
    <row r="1029" customFormat="false" ht="15.75" hidden="false" customHeight="true" outlineLevel="0" collapsed="false">
      <c r="A1029" s="19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</row>
    <row r="1030" customFormat="false" ht="15.75" hidden="false" customHeight="true" outlineLevel="0" collapsed="false">
      <c r="A1030" s="19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</row>
    <row r="1031" customFormat="false" ht="15.75" hidden="false" customHeight="true" outlineLevel="0" collapsed="false">
      <c r="A1031" s="19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</row>
    <row r="1032" customFormat="false" ht="15.75" hidden="false" customHeight="true" outlineLevel="0" collapsed="false">
      <c r="A1032" s="19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</row>
    <row r="1033" customFormat="false" ht="15.75" hidden="false" customHeight="true" outlineLevel="0" collapsed="false">
      <c r="A1033" s="19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</row>
    <row r="1034" customFormat="false" ht="15.75" hidden="false" customHeight="true" outlineLevel="0" collapsed="false">
      <c r="A1034" s="19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</row>
    <row r="1035" customFormat="false" ht="15.75" hidden="false" customHeight="true" outlineLevel="0" collapsed="false">
      <c r="A1035" s="19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</row>
    <row r="1036" customFormat="false" ht="15.75" hidden="false" customHeight="true" outlineLevel="0" collapsed="false">
      <c r="A1036" s="19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</row>
    <row r="1037" customFormat="false" ht="15.75" hidden="false" customHeight="true" outlineLevel="0" collapsed="false">
      <c r="A1037" s="19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</row>
    <row r="1038" customFormat="false" ht="15.75" hidden="false" customHeight="true" outlineLevel="0" collapsed="false">
      <c r="A1038" s="19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</row>
    <row r="1039" customFormat="false" ht="15.75" hidden="false" customHeight="true" outlineLevel="0" collapsed="false">
      <c r="A1039" s="19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</row>
    <row r="1040" customFormat="false" ht="15.75" hidden="false" customHeight="true" outlineLevel="0" collapsed="false">
      <c r="A1040" s="19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</row>
    <row r="1041" customFormat="false" ht="15.75" hidden="false" customHeight="true" outlineLevel="0" collapsed="false">
      <c r="A1041" s="19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</row>
    <row r="1042" customFormat="false" ht="15.75" hidden="false" customHeight="true" outlineLevel="0" collapsed="false">
      <c r="A1042" s="19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</row>
    <row r="1043" customFormat="false" ht="15.75" hidden="false" customHeight="true" outlineLevel="0" collapsed="false">
      <c r="A1043" s="19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</row>
    <row r="1044" customFormat="false" ht="15.75" hidden="false" customHeight="true" outlineLevel="0" collapsed="false">
      <c r="A1044" s="19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</row>
    <row r="1045" customFormat="false" ht="15.75" hidden="false" customHeight="true" outlineLevel="0" collapsed="false">
      <c r="A1045" s="19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</row>
    <row r="1046" customFormat="false" ht="15.75" hidden="false" customHeight="true" outlineLevel="0" collapsed="false">
      <c r="A1046" s="19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</row>
    <row r="1047" customFormat="false" ht="15.75" hidden="false" customHeight="true" outlineLevel="0" collapsed="false">
      <c r="A1047" s="19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</row>
    <row r="1048" customFormat="false" ht="15.75" hidden="false" customHeight="true" outlineLevel="0" collapsed="false">
      <c r="A1048" s="19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</row>
    <row r="1049" customFormat="false" ht="15.75" hidden="false" customHeight="true" outlineLevel="0" collapsed="false">
      <c r="A1049" s="19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</row>
    <row r="1050" customFormat="false" ht="15.75" hidden="false" customHeight="true" outlineLevel="0" collapsed="false">
      <c r="A1050" s="19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</row>
    <row r="1051" customFormat="false" ht="15.75" hidden="false" customHeight="true" outlineLevel="0" collapsed="false">
      <c r="A1051" s="19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</row>
    <row r="1052" customFormat="false" ht="15.75" hidden="false" customHeight="true" outlineLevel="0" collapsed="false">
      <c r="A1052" s="19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</row>
    <row r="1053" customFormat="false" ht="15.75" hidden="false" customHeight="true" outlineLevel="0" collapsed="false">
      <c r="A1053" s="19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</row>
    <row r="1054" customFormat="false" ht="15.75" hidden="false" customHeight="true" outlineLevel="0" collapsed="false">
      <c r="A1054" s="19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</row>
    <row r="1055" customFormat="false" ht="15.75" hidden="false" customHeight="true" outlineLevel="0" collapsed="false">
      <c r="A1055" s="19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</row>
    <row r="1056" customFormat="false" ht="15.75" hidden="false" customHeight="true" outlineLevel="0" collapsed="false">
      <c r="A1056" s="19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</row>
    <row r="1057" customFormat="false" ht="15.75" hidden="false" customHeight="true" outlineLevel="0" collapsed="false">
      <c r="A1057" s="19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</row>
    <row r="1058" customFormat="false" ht="15.75" hidden="false" customHeight="true" outlineLevel="0" collapsed="false">
      <c r="A1058" s="19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</row>
    <row r="1059" customFormat="false" ht="15.75" hidden="false" customHeight="true" outlineLevel="0" collapsed="false">
      <c r="A1059" s="19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</row>
    <row r="1060" customFormat="false" ht="15.75" hidden="false" customHeight="true" outlineLevel="0" collapsed="false">
      <c r="A1060" s="19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</row>
    <row r="1061" customFormat="false" ht="15.75" hidden="false" customHeight="true" outlineLevel="0" collapsed="false">
      <c r="A1061" s="19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</row>
    <row r="1062" customFormat="false" ht="15.75" hidden="false" customHeight="true" outlineLevel="0" collapsed="false">
      <c r="A1062" s="19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</row>
    <row r="1063" customFormat="false" ht="15.75" hidden="false" customHeight="true" outlineLevel="0" collapsed="false">
      <c r="A1063" s="19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</row>
    <row r="1064" customFormat="false" ht="15.75" hidden="false" customHeight="true" outlineLevel="0" collapsed="false">
      <c r="A1064" s="19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</row>
    <row r="1065" customFormat="false" ht="15.75" hidden="false" customHeight="true" outlineLevel="0" collapsed="false">
      <c r="A1065" s="19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</row>
    <row r="1066" customFormat="false" ht="15.75" hidden="false" customHeight="true" outlineLevel="0" collapsed="false">
      <c r="A1066" s="19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</row>
    <row r="1067" customFormat="false" ht="15.75" hidden="false" customHeight="true" outlineLevel="0" collapsed="false">
      <c r="A1067" s="19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</row>
    <row r="1068" customFormat="false" ht="15.75" hidden="false" customHeight="true" outlineLevel="0" collapsed="false">
      <c r="A1068" s="19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</row>
    <row r="1069" customFormat="false" ht="15.75" hidden="false" customHeight="true" outlineLevel="0" collapsed="false">
      <c r="A1069" s="19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</row>
    <row r="1070" customFormat="false" ht="15.75" hidden="false" customHeight="true" outlineLevel="0" collapsed="false">
      <c r="A1070" s="19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</row>
    <row r="1071" customFormat="false" ht="15.75" hidden="false" customHeight="true" outlineLevel="0" collapsed="false">
      <c r="A1071" s="19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</row>
    <row r="1072" customFormat="false" ht="15.75" hidden="false" customHeight="true" outlineLevel="0" collapsed="false">
      <c r="A1072" s="19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</row>
    <row r="1073" customFormat="false" ht="15.75" hidden="false" customHeight="true" outlineLevel="0" collapsed="false">
      <c r="A1073" s="19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</row>
    <row r="1074" customFormat="false" ht="15.75" hidden="false" customHeight="true" outlineLevel="0" collapsed="false">
      <c r="A1074" s="19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</row>
    <row r="1075" customFormat="false" ht="15.75" hidden="false" customHeight="true" outlineLevel="0" collapsed="false">
      <c r="A1075" s="19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</row>
    <row r="1076" customFormat="false" ht="15.75" hidden="false" customHeight="true" outlineLevel="0" collapsed="false">
      <c r="A1076" s="19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</row>
    <row r="1077" customFormat="false" ht="15.75" hidden="false" customHeight="true" outlineLevel="0" collapsed="false">
      <c r="A1077" s="19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</row>
    <row r="1078" customFormat="false" ht="15.75" hidden="false" customHeight="true" outlineLevel="0" collapsed="false">
      <c r="A1078" s="19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</row>
    <row r="1079" customFormat="false" ht="15.75" hidden="false" customHeight="true" outlineLevel="0" collapsed="false">
      <c r="A1079" s="19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</row>
    <row r="1080" customFormat="false" ht="15.75" hidden="false" customHeight="true" outlineLevel="0" collapsed="false">
      <c r="A1080" s="19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</row>
    <row r="1081" customFormat="false" ht="15.75" hidden="false" customHeight="true" outlineLevel="0" collapsed="false">
      <c r="A1081" s="19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</row>
    <row r="1082" customFormat="false" ht="15.75" hidden="false" customHeight="true" outlineLevel="0" collapsed="false">
      <c r="A1082" s="19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</row>
    <row r="1083" customFormat="false" ht="15.75" hidden="false" customHeight="true" outlineLevel="0" collapsed="false">
      <c r="A1083" s="19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</row>
    <row r="1084" customFormat="false" ht="15.75" hidden="false" customHeight="true" outlineLevel="0" collapsed="false">
      <c r="A1084" s="19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</row>
    <row r="1085" customFormat="false" ht="15.75" hidden="false" customHeight="true" outlineLevel="0" collapsed="false">
      <c r="A1085" s="19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</row>
    <row r="1086" customFormat="false" ht="15.75" hidden="false" customHeight="true" outlineLevel="0" collapsed="false">
      <c r="A1086" s="19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</row>
    <row r="1087" customFormat="false" ht="15.75" hidden="false" customHeight="true" outlineLevel="0" collapsed="false">
      <c r="A1087" s="19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</row>
    <row r="1088" customFormat="false" ht="15.75" hidden="false" customHeight="true" outlineLevel="0" collapsed="false">
      <c r="A1088" s="19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</row>
    <row r="1089" customFormat="false" ht="15.75" hidden="false" customHeight="true" outlineLevel="0" collapsed="false">
      <c r="A1089" s="19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</row>
    <row r="1090" customFormat="false" ht="15.75" hidden="false" customHeight="true" outlineLevel="0" collapsed="false">
      <c r="A1090" s="19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</row>
    <row r="1091" customFormat="false" ht="15.75" hidden="false" customHeight="true" outlineLevel="0" collapsed="false">
      <c r="A1091" s="19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</row>
    <row r="1092" customFormat="false" ht="15.75" hidden="false" customHeight="true" outlineLevel="0" collapsed="false">
      <c r="A1092" s="19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</row>
    <row r="1093" customFormat="false" ht="15.75" hidden="false" customHeight="true" outlineLevel="0" collapsed="false">
      <c r="A1093" s="19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</row>
    <row r="1094" customFormat="false" ht="15.75" hidden="false" customHeight="true" outlineLevel="0" collapsed="false">
      <c r="A1094" s="19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</row>
    <row r="1095" customFormat="false" ht="15.75" hidden="false" customHeight="true" outlineLevel="0" collapsed="false">
      <c r="A1095" s="19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</row>
    <row r="1096" customFormat="false" ht="15.75" hidden="false" customHeight="true" outlineLevel="0" collapsed="false">
      <c r="A1096" s="19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</row>
    <row r="1097" customFormat="false" ht="15.75" hidden="false" customHeight="true" outlineLevel="0" collapsed="false">
      <c r="A1097" s="19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</row>
    <row r="1098" customFormat="false" ht="15.75" hidden="false" customHeight="true" outlineLevel="0" collapsed="false">
      <c r="A1098" s="19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</row>
    <row r="1099" customFormat="false" ht="15.75" hidden="false" customHeight="true" outlineLevel="0" collapsed="false">
      <c r="A1099" s="19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</row>
    <row r="1100" customFormat="false" ht="15.75" hidden="false" customHeight="true" outlineLevel="0" collapsed="false">
      <c r="A1100" s="19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</row>
    <row r="1101" customFormat="false" ht="15.75" hidden="false" customHeight="true" outlineLevel="0" collapsed="false">
      <c r="A1101" s="19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</row>
    <row r="1102" customFormat="false" ht="15.75" hidden="false" customHeight="true" outlineLevel="0" collapsed="false">
      <c r="A1102" s="19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</row>
    <row r="1103" customFormat="false" ht="15.75" hidden="false" customHeight="true" outlineLevel="0" collapsed="false">
      <c r="A1103" s="19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</row>
    <row r="1104" customFormat="false" ht="15.75" hidden="false" customHeight="true" outlineLevel="0" collapsed="false">
      <c r="A1104" s="19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</row>
    <row r="1105" customFormat="false" ht="15.75" hidden="false" customHeight="true" outlineLevel="0" collapsed="false">
      <c r="A1105" s="19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</row>
    <row r="1106" customFormat="false" ht="15.75" hidden="false" customHeight="true" outlineLevel="0" collapsed="false">
      <c r="A1106" s="19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</row>
    <row r="1107" customFormat="false" ht="15.75" hidden="false" customHeight="true" outlineLevel="0" collapsed="false">
      <c r="A1107" s="19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</row>
    <row r="1108" customFormat="false" ht="15.75" hidden="false" customHeight="true" outlineLevel="0" collapsed="false">
      <c r="A1108" s="19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</row>
    <row r="1109" customFormat="false" ht="15.75" hidden="false" customHeight="true" outlineLevel="0" collapsed="false">
      <c r="A1109" s="19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</row>
    <row r="1110" customFormat="false" ht="15.75" hidden="false" customHeight="true" outlineLevel="0" collapsed="false">
      <c r="A1110" s="19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</row>
    <row r="1111" customFormat="false" ht="15.75" hidden="false" customHeight="true" outlineLevel="0" collapsed="false">
      <c r="A1111" s="19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</row>
    <row r="1112" customFormat="false" ht="15.75" hidden="false" customHeight="true" outlineLevel="0" collapsed="false">
      <c r="A1112" s="19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</row>
    <row r="1113" customFormat="false" ht="15.75" hidden="false" customHeight="true" outlineLevel="0" collapsed="false">
      <c r="A1113" s="19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</row>
    <row r="1114" customFormat="false" ht="15.75" hidden="false" customHeight="true" outlineLevel="0" collapsed="false">
      <c r="A1114" s="19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</row>
    <row r="1115" customFormat="false" ht="15.75" hidden="false" customHeight="true" outlineLevel="0" collapsed="false">
      <c r="A1115" s="19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</row>
    <row r="1116" customFormat="false" ht="15.75" hidden="false" customHeight="true" outlineLevel="0" collapsed="false">
      <c r="A1116" s="19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</row>
    <row r="1117" customFormat="false" ht="15.75" hidden="false" customHeight="true" outlineLevel="0" collapsed="false">
      <c r="A1117" s="19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</row>
    <row r="1118" customFormat="false" ht="15.75" hidden="false" customHeight="true" outlineLevel="0" collapsed="false">
      <c r="A1118" s="19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</row>
    <row r="1119" customFormat="false" ht="15.75" hidden="false" customHeight="true" outlineLevel="0" collapsed="false">
      <c r="A1119" s="19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</row>
    <row r="1120" customFormat="false" ht="15.75" hidden="false" customHeight="true" outlineLevel="0" collapsed="false">
      <c r="A1120" s="19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</row>
    <row r="1121" customFormat="false" ht="15.75" hidden="false" customHeight="true" outlineLevel="0" collapsed="false">
      <c r="A1121" s="19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</row>
    <row r="1122" customFormat="false" ht="15.75" hidden="false" customHeight="true" outlineLevel="0" collapsed="false">
      <c r="A1122" s="19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</row>
    <row r="1123" customFormat="false" ht="15.75" hidden="false" customHeight="true" outlineLevel="0" collapsed="false">
      <c r="A1123" s="19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</row>
    <row r="1124" customFormat="false" ht="15.75" hidden="false" customHeight="true" outlineLevel="0" collapsed="false">
      <c r="A1124" s="19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</row>
    <row r="1125" customFormat="false" ht="15.75" hidden="false" customHeight="true" outlineLevel="0" collapsed="false">
      <c r="A1125" s="19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</row>
    <row r="1126" customFormat="false" ht="15.75" hidden="false" customHeight="true" outlineLevel="0" collapsed="false">
      <c r="A1126" s="19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</row>
    <row r="1127" customFormat="false" ht="15.75" hidden="false" customHeight="true" outlineLevel="0" collapsed="false">
      <c r="A1127" s="19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</row>
    <row r="1128" customFormat="false" ht="15.75" hidden="false" customHeight="true" outlineLevel="0" collapsed="false">
      <c r="A1128" s="19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</row>
    <row r="1129" customFormat="false" ht="15.75" hidden="false" customHeight="true" outlineLevel="0" collapsed="false">
      <c r="A1129" s="19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</row>
    <row r="1130" customFormat="false" ht="15.75" hidden="false" customHeight="true" outlineLevel="0" collapsed="false">
      <c r="A1130" s="19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</row>
    <row r="1131" customFormat="false" ht="15.75" hidden="false" customHeight="true" outlineLevel="0" collapsed="false">
      <c r="A1131" s="19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</row>
    <row r="1132" customFormat="false" ht="15.75" hidden="false" customHeight="true" outlineLevel="0" collapsed="false">
      <c r="A1132" s="19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</row>
    <row r="1133" customFormat="false" ht="15.75" hidden="false" customHeight="true" outlineLevel="0" collapsed="false">
      <c r="A1133" s="19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</row>
    <row r="1134" customFormat="false" ht="15.75" hidden="false" customHeight="true" outlineLevel="0" collapsed="false">
      <c r="A1134" s="19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</row>
    <row r="1135" customFormat="false" ht="15.75" hidden="false" customHeight="true" outlineLevel="0" collapsed="false">
      <c r="A1135" s="19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</row>
    <row r="1136" customFormat="false" ht="15.75" hidden="false" customHeight="true" outlineLevel="0" collapsed="false">
      <c r="A1136" s="19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</row>
    <row r="1137" customFormat="false" ht="15.75" hidden="false" customHeight="true" outlineLevel="0" collapsed="false">
      <c r="A1137" s="19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</row>
    <row r="1138" customFormat="false" ht="15.75" hidden="false" customHeight="true" outlineLevel="0" collapsed="false">
      <c r="A1138" s="19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</row>
  </sheetData>
  <mergeCells count="12">
    <mergeCell ref="A2:A22"/>
    <mergeCell ref="A24:A46"/>
    <mergeCell ref="A48:A68"/>
    <mergeCell ref="A70:A89"/>
    <mergeCell ref="A91:A110"/>
    <mergeCell ref="B112:D112"/>
    <mergeCell ref="B113:D113"/>
    <mergeCell ref="B114:D114"/>
    <mergeCell ref="B115:D115"/>
    <mergeCell ref="B116:D116"/>
    <mergeCell ref="B117:D117"/>
    <mergeCell ref="B118:D118"/>
  </mergeCells>
  <conditionalFormatting sqref="E119:E210">
    <cfRule type="cellIs" priority="2" operator="equal" aboveAverage="0" equalAverage="0" bottom="0" percent="0" rank="0" text="" dxfId="10">
      <formula>0</formula>
    </cfRule>
    <cfRule type="cellIs" priority="3" operator="lessThan" aboveAverage="0" equalAverage="0" bottom="0" percent="0" rank="0" text="" dxfId="11">
      <formula>11</formula>
    </cfRule>
  </conditionalFormatting>
  <conditionalFormatting sqref="B23:Y23 B47:Y47 B69:Y69 B90:Y90 B111:Y111">
    <cfRule type="colorScale" priority="4">
      <colorScale>
        <cfvo type="formula" val="0"/>
        <cfvo type="formula" val="20"/>
        <color rgb="FF5A8AC6"/>
        <color rgb="FFF8696B"/>
      </colorScale>
    </cfRule>
  </conditionalFormatting>
  <conditionalFormatting sqref="I119:M210">
    <cfRule type="cellIs" priority="5" operator="equal" aboveAverage="0" equalAverage="0" bottom="0" percent="0" rank="0" text="" dxfId="12">
      <formula>0</formula>
    </cfRule>
  </conditionalFormatting>
  <conditionalFormatting sqref="B2:Y110">
    <cfRule type="expression" priority="6" aboveAverage="0" equalAverage="0" bottom="0" percent="0" rank="0" text="" dxfId="13">
      <formula>COUNTIFS($Q$118:$Q$203, B2, $R$118:$R$203, "NSM") &gt; 0</formula>
    </cfRule>
    <cfRule type="expression" priority="7" aboveAverage="0" equalAverage="0" bottom="0" percent="0" rank="0" text="" dxfId="14">
      <formula>COUNTIFS($Q$118:$Q$203, B2, $R$118:$R$203, "A") &gt; 0</formula>
    </cfRule>
    <cfRule type="expression" priority="8" aboveAverage="0" equalAverage="0" bottom="0" percent="0" rank="0" text="" dxfId="15">
      <formula>COUNTIFS($Q$118:$Q$203, B2, $R$118:$R$203, "TI") &gt; 0</formula>
    </cfRule>
    <cfRule type="expression" priority="9" aboveAverage="0" equalAverage="0" bottom="0" percent="0" rank="0" text="" dxfId="16">
      <formula>COUNTIFS($Q$118:$Q$203, B2, $R$118:$R$203, "SE") &gt; 0</formula>
    </cfRule>
    <cfRule type="expression" priority="10" aboveAverage="0" equalAverage="0" bottom="0" percent="0" rank="0" text="" dxfId="17">
      <formula>COUNTIFS($Q$118:$Q$203, B2, $R$118:$R$203, "TH") &gt; 0</formula>
    </cfRule>
    <cfRule type="expression" priority="11" aboveAverage="0" equalAverage="0" bottom="0" percent="0" rank="0" text="" dxfId="18">
      <formula>COUNTIFS($Q$118:$Q$203, B2, $R$118:$R$203, "PT") &gt; 0</formula>
    </cfRule>
    <cfRule type="expression" priority="12" aboveAverage="0" equalAverage="0" bottom="0" percent="0" rank="0" text="" dxfId="19">
      <formula>COUNTIFS($Q$118:$Q$203, B2, $R$118:$R$203, "OB") &gt; 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9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13.66"/>
    <col collapsed="false" customWidth="true" hidden="false" outlineLevel="0" max="25" min="2" style="0" width="10.5"/>
  </cols>
  <sheetData>
    <row r="1" customFormat="false" ht="76.5" hidden="false" customHeight="true" outlineLevel="0" collapsed="false">
      <c r="A1" s="31"/>
      <c r="B1" s="3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8</v>
      </c>
      <c r="K1" s="32" t="s">
        <v>9</v>
      </c>
      <c r="L1" s="32" t="s">
        <v>10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16</v>
      </c>
      <c r="S1" s="32" t="s">
        <v>17</v>
      </c>
      <c r="T1" s="32" t="s">
        <v>18</v>
      </c>
      <c r="U1" s="32" t="s">
        <v>19</v>
      </c>
      <c r="V1" s="32" t="s">
        <v>20</v>
      </c>
      <c r="W1" s="32" t="s">
        <v>21</v>
      </c>
      <c r="X1" s="32" t="s">
        <v>22</v>
      </c>
      <c r="Y1" s="32" t="s">
        <v>23</v>
      </c>
    </row>
    <row r="2" customFormat="false" ht="15.75" hidden="false" customHeight="true" outlineLevel="0" collapsed="false">
      <c r="A2" s="33" t="s">
        <v>24</v>
      </c>
      <c r="B2" s="34"/>
      <c r="C2" s="34"/>
      <c r="D2" s="35" t="s">
        <v>140</v>
      </c>
      <c r="E2" s="35" t="s">
        <v>140</v>
      </c>
      <c r="F2" s="35" t="s">
        <v>140</v>
      </c>
      <c r="G2" s="35" t="s">
        <v>140</v>
      </c>
      <c r="H2" s="35" t="s">
        <v>140</v>
      </c>
      <c r="I2" s="35" t="s">
        <v>140</v>
      </c>
      <c r="J2" s="36" t="s">
        <v>141</v>
      </c>
      <c r="K2" s="36" t="s">
        <v>141</v>
      </c>
      <c r="L2" s="36" t="s">
        <v>141</v>
      </c>
      <c r="M2" s="36" t="s">
        <v>141</v>
      </c>
      <c r="N2" s="36" t="s">
        <v>141</v>
      </c>
      <c r="O2" s="36" t="s">
        <v>141</v>
      </c>
      <c r="P2" s="36" t="s">
        <v>141</v>
      </c>
      <c r="Q2" s="36" t="s">
        <v>141</v>
      </c>
      <c r="R2" s="37" t="s">
        <v>142</v>
      </c>
      <c r="S2" s="37" t="s">
        <v>142</v>
      </c>
      <c r="T2" s="38"/>
      <c r="U2" s="38"/>
      <c r="V2" s="38"/>
      <c r="W2" s="38"/>
      <c r="X2" s="37" t="s">
        <v>142</v>
      </c>
      <c r="Y2" s="37" t="s">
        <v>142</v>
      </c>
    </row>
    <row r="3" customFormat="false" ht="15.75" hidden="false" customHeight="true" outlineLevel="0" collapsed="false">
      <c r="A3" s="33" t="s">
        <v>66</v>
      </c>
      <c r="B3" s="34"/>
      <c r="C3" s="34"/>
      <c r="D3" s="35" t="s">
        <v>140</v>
      </c>
      <c r="E3" s="35" t="s">
        <v>140</v>
      </c>
      <c r="F3" s="35" t="s">
        <v>140</v>
      </c>
      <c r="G3" s="35" t="s">
        <v>140</v>
      </c>
      <c r="H3" s="35" t="s">
        <v>140</v>
      </c>
      <c r="I3" s="35" t="s">
        <v>140</v>
      </c>
      <c r="J3" s="36" t="s">
        <v>141</v>
      </c>
      <c r="K3" s="36" t="s">
        <v>141</v>
      </c>
      <c r="L3" s="36" t="s">
        <v>141</v>
      </c>
      <c r="M3" s="36" t="s">
        <v>141</v>
      </c>
      <c r="N3" s="37" t="s">
        <v>142</v>
      </c>
      <c r="O3" s="37" t="s">
        <v>142</v>
      </c>
      <c r="P3" s="37" t="s">
        <v>142</v>
      </c>
      <c r="Q3" s="37" t="s">
        <v>142</v>
      </c>
      <c r="R3" s="37" t="s">
        <v>142</v>
      </c>
      <c r="S3" s="37" t="s">
        <v>142</v>
      </c>
      <c r="T3" s="39" t="s">
        <v>143</v>
      </c>
      <c r="U3" s="39" t="s">
        <v>143</v>
      </c>
      <c r="V3" s="39" t="s">
        <v>143</v>
      </c>
      <c r="W3" s="39" t="s">
        <v>143</v>
      </c>
      <c r="X3" s="34"/>
      <c r="Y3" s="34"/>
    </row>
    <row r="4" customFormat="false" ht="15.75" hidden="false" customHeight="true" outlineLevel="0" collapsed="false">
      <c r="A4" s="33" t="s">
        <v>73</v>
      </c>
      <c r="B4" s="34"/>
      <c r="C4" s="34"/>
      <c r="D4" s="35" t="s">
        <v>140</v>
      </c>
      <c r="E4" s="35" t="s">
        <v>140</v>
      </c>
      <c r="F4" s="35" t="s">
        <v>140</v>
      </c>
      <c r="G4" s="35" t="s">
        <v>140</v>
      </c>
      <c r="H4" s="36" t="s">
        <v>141</v>
      </c>
      <c r="I4" s="36" t="s">
        <v>141</v>
      </c>
      <c r="J4" s="36" t="s">
        <v>141</v>
      </c>
      <c r="K4" s="36" t="s">
        <v>141</v>
      </c>
      <c r="L4" s="36" t="s">
        <v>141</v>
      </c>
      <c r="M4" s="36" t="s">
        <v>141</v>
      </c>
      <c r="N4" s="40" t="s">
        <v>144</v>
      </c>
      <c r="O4" s="40" t="s">
        <v>144</v>
      </c>
      <c r="P4" s="37" t="s">
        <v>142</v>
      </c>
      <c r="Q4" s="37" t="s">
        <v>142</v>
      </c>
      <c r="R4" s="37" t="s">
        <v>142</v>
      </c>
      <c r="S4" s="37" t="s">
        <v>142</v>
      </c>
      <c r="T4" s="38"/>
      <c r="U4" s="38"/>
      <c r="V4" s="38"/>
      <c r="W4" s="38"/>
      <c r="X4" s="38"/>
      <c r="Y4" s="38"/>
    </row>
    <row r="5" customFormat="false" ht="15.75" hidden="false" customHeight="true" outlineLevel="0" collapsed="false">
      <c r="A5" s="33" t="s">
        <v>75</v>
      </c>
      <c r="B5" s="34"/>
      <c r="C5" s="34"/>
      <c r="D5" s="35" t="s">
        <v>140</v>
      </c>
      <c r="E5" s="35" t="s">
        <v>140</v>
      </c>
      <c r="F5" s="35" t="s">
        <v>140</v>
      </c>
      <c r="G5" s="35" t="s">
        <v>140</v>
      </c>
      <c r="H5" s="36" t="s">
        <v>141</v>
      </c>
      <c r="I5" s="36" t="s">
        <v>141</v>
      </c>
      <c r="J5" s="36" t="s">
        <v>141</v>
      </c>
      <c r="K5" s="36" t="s">
        <v>141</v>
      </c>
      <c r="L5" s="37" t="s">
        <v>142</v>
      </c>
      <c r="M5" s="37" t="s">
        <v>142</v>
      </c>
      <c r="N5" s="37" t="s">
        <v>142</v>
      </c>
      <c r="O5" s="37" t="s">
        <v>142</v>
      </c>
      <c r="P5" s="37" t="s">
        <v>142</v>
      </c>
      <c r="Q5" s="37" t="s">
        <v>142</v>
      </c>
      <c r="R5" s="37" t="s">
        <v>142</v>
      </c>
      <c r="S5" s="37" t="s">
        <v>142</v>
      </c>
      <c r="T5" s="39" t="s">
        <v>143</v>
      </c>
      <c r="U5" s="39" t="s">
        <v>143</v>
      </c>
      <c r="V5" s="39" t="s">
        <v>143</v>
      </c>
      <c r="W5" s="39" t="s">
        <v>143</v>
      </c>
      <c r="X5" s="34"/>
      <c r="Y5" s="34"/>
    </row>
    <row r="6" customFormat="false" ht="21" hidden="false" customHeight="true" outlineLevel="0" collapsed="false">
      <c r="A6" s="33" t="s">
        <v>76</v>
      </c>
      <c r="B6" s="34"/>
      <c r="C6" s="34"/>
      <c r="D6" s="35" t="s">
        <v>140</v>
      </c>
      <c r="E6" s="35" t="s">
        <v>140</v>
      </c>
      <c r="F6" s="35" t="s">
        <v>140</v>
      </c>
      <c r="G6" s="35" t="s">
        <v>140</v>
      </c>
      <c r="H6" s="38"/>
      <c r="I6" s="38"/>
      <c r="J6" s="36" t="s">
        <v>141</v>
      </c>
      <c r="K6" s="36" t="s">
        <v>141</v>
      </c>
      <c r="L6" s="36" t="s">
        <v>141</v>
      </c>
      <c r="M6" s="36" t="s">
        <v>141</v>
      </c>
      <c r="N6" s="41" t="s">
        <v>145</v>
      </c>
      <c r="O6" s="41" t="s">
        <v>145</v>
      </c>
      <c r="P6" s="39" t="s">
        <v>143</v>
      </c>
      <c r="Q6" s="39" t="s">
        <v>143</v>
      </c>
      <c r="R6" s="39" t="s">
        <v>143</v>
      </c>
      <c r="S6" s="39" t="s">
        <v>143</v>
      </c>
      <c r="T6" s="39" t="s">
        <v>143</v>
      </c>
      <c r="U6" s="39" t="s">
        <v>143</v>
      </c>
      <c r="V6" s="39" t="s">
        <v>143</v>
      </c>
      <c r="W6" s="39" t="s">
        <v>143</v>
      </c>
      <c r="X6" s="34"/>
      <c r="Y6" s="34"/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>
      <c r="B9" s="39" t="s">
        <v>143</v>
      </c>
      <c r="C9" s="42" t="n">
        <f aca="false">COUNTIF($B$2:$Y$6,B9)/2 + COUNTIF($B$2:$Y$6,$P$6)/2</f>
        <v>16</v>
      </c>
      <c r="D9" s="28" t="s">
        <v>146</v>
      </c>
    </row>
    <row r="10" customFormat="false" ht="15.75" hidden="false" customHeight="true" outlineLevel="0" collapsed="false">
      <c r="B10" s="35" t="s">
        <v>140</v>
      </c>
      <c r="C10" s="42" t="n">
        <f aca="false">COUNTIF($B$2:$Y$6,B10)/2</f>
        <v>12</v>
      </c>
      <c r="D10" s="28" t="s">
        <v>146</v>
      </c>
    </row>
    <row r="11" customFormat="false" ht="15.75" hidden="false" customHeight="true" outlineLevel="0" collapsed="false">
      <c r="B11" s="37" t="s">
        <v>142</v>
      </c>
      <c r="C11" s="42" t="n">
        <f aca="false">COUNTIF($B$2:$Y$6,B11)/2 + COUNTIF($B$2:$Y$6,$P$6)/2</f>
        <v>19</v>
      </c>
      <c r="D11" s="28"/>
      <c r="J11" s="28" t="s">
        <v>141</v>
      </c>
      <c r="K11" s="28" t="n">
        <f aca="false">4+2+3+2+2</f>
        <v>13</v>
      </c>
      <c r="L11" s="28" t="n">
        <v>13</v>
      </c>
    </row>
    <row r="12" customFormat="false" ht="15.75" hidden="false" customHeight="true" outlineLevel="0" collapsed="false">
      <c r="B12" s="36" t="s">
        <v>141</v>
      </c>
      <c r="C12" s="42" t="n">
        <f aca="false">COUNTIF($B$2:$Y$6,B12)/2</f>
        <v>13</v>
      </c>
      <c r="D12" s="28"/>
      <c r="J12" s="28" t="s">
        <v>142</v>
      </c>
      <c r="K12" s="28" t="n">
        <f aca="false">1+3+2+4+1</f>
        <v>11</v>
      </c>
      <c r="L12" s="28" t="n">
        <v>13</v>
      </c>
    </row>
    <row r="13" customFormat="false" ht="15.75" hidden="false" customHeight="true" outlineLevel="0" collapsed="false">
      <c r="B13" s="40" t="s">
        <v>144</v>
      </c>
      <c r="C13" s="42" t="n">
        <f aca="false">COUNTIF($B$2:$Y$6,B13)/2</f>
        <v>1</v>
      </c>
      <c r="J13" s="28" t="s">
        <v>143</v>
      </c>
      <c r="K13" s="28" t="n">
        <f aca="false">2+2+4</f>
        <v>8</v>
      </c>
      <c r="L13" s="28" t="n">
        <v>10</v>
      </c>
    </row>
    <row r="14" customFormat="false" ht="15.75" hidden="false" customHeight="true" outlineLevel="0" collapsed="false">
      <c r="B14" s="41" t="s">
        <v>145</v>
      </c>
      <c r="C14" s="42" t="n">
        <f aca="false">COUNTIF($B$2:$Y$6,B14)/2</f>
        <v>1</v>
      </c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1.1640625" defaultRowHeight="15" customHeight="true" zeroHeight="false" outlineLevelRow="1" outlineLevelCol="0"/>
  <cols>
    <col collapsed="false" customWidth="true" hidden="false" outlineLevel="0" max="1" min="1" style="0" width="15"/>
    <col collapsed="false" customWidth="true" hidden="false" outlineLevel="0" max="26" min="2" style="0" width="10.5"/>
  </cols>
  <sheetData>
    <row r="1" customFormat="false" ht="15.75" hidden="false" customHeight="true" outlineLevel="0" collapsed="false">
      <c r="A1" s="43" t="s">
        <v>147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8</v>
      </c>
      <c r="K1" s="32" t="s">
        <v>9</v>
      </c>
      <c r="L1" s="32" t="s">
        <v>10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16</v>
      </c>
      <c r="S1" s="32" t="s">
        <v>17</v>
      </c>
      <c r="T1" s="32" t="s">
        <v>18</v>
      </c>
      <c r="U1" s="32" t="s">
        <v>19</v>
      </c>
      <c r="V1" s="32" t="s">
        <v>20</v>
      </c>
      <c r="W1" s="32" t="s">
        <v>21</v>
      </c>
      <c r="X1" s="32" t="s">
        <v>22</v>
      </c>
      <c r="Y1" s="32" t="s">
        <v>23</v>
      </c>
    </row>
    <row r="2" customFormat="false" ht="15.75" hidden="false" customHeight="true" outlineLevel="0" collapsed="false">
      <c r="A2" s="34" t="s">
        <v>24</v>
      </c>
      <c r="B2" s="44"/>
      <c r="C2" s="44"/>
      <c r="D2" s="44"/>
      <c r="E2" s="44" t="s">
        <v>148</v>
      </c>
      <c r="F2" s="44" t="s">
        <v>148</v>
      </c>
      <c r="G2" s="44"/>
      <c r="H2" s="44" t="s">
        <v>149</v>
      </c>
      <c r="I2" s="44" t="s">
        <v>149</v>
      </c>
      <c r="J2" s="44" t="s">
        <v>149</v>
      </c>
      <c r="K2" s="44" t="s">
        <v>149</v>
      </c>
      <c r="L2" s="44" t="s">
        <v>149</v>
      </c>
      <c r="M2" s="44" t="s">
        <v>149</v>
      </c>
      <c r="N2" s="44" t="s">
        <v>149</v>
      </c>
      <c r="O2" s="44" t="s">
        <v>149</v>
      </c>
      <c r="P2" s="44"/>
      <c r="Q2" s="44"/>
      <c r="R2" s="44" t="s">
        <v>150</v>
      </c>
      <c r="S2" s="44" t="s">
        <v>150</v>
      </c>
      <c r="T2" s="44" t="s">
        <v>150</v>
      </c>
      <c r="U2" s="44" t="s">
        <v>150</v>
      </c>
      <c r="V2" s="44"/>
      <c r="W2" s="44"/>
      <c r="X2" s="44"/>
      <c r="Y2" s="44"/>
      <c r="Z2" s="28" t="n">
        <f aca="false">COUNTA(B2:Y2)/2</f>
        <v>7</v>
      </c>
    </row>
    <row r="3" customFormat="false" ht="15.75" hidden="false" customHeight="true" outlineLevel="0" collapsed="false">
      <c r="A3" s="34"/>
      <c r="B3" s="44"/>
      <c r="C3" s="44"/>
      <c r="D3" s="44"/>
      <c r="E3" s="44"/>
      <c r="F3" s="44"/>
      <c r="G3" s="44"/>
      <c r="H3" s="44" t="s">
        <v>151</v>
      </c>
      <c r="I3" s="44" t="s">
        <v>151</v>
      </c>
      <c r="J3" s="44" t="s">
        <v>151</v>
      </c>
      <c r="K3" s="44" t="s">
        <v>151</v>
      </c>
      <c r="L3" s="44" t="s">
        <v>152</v>
      </c>
      <c r="M3" s="44" t="s">
        <v>152</v>
      </c>
      <c r="N3" s="44" t="s">
        <v>152</v>
      </c>
      <c r="O3" s="44"/>
      <c r="P3" s="44" t="s">
        <v>151</v>
      </c>
      <c r="Q3" s="44" t="s">
        <v>151</v>
      </c>
      <c r="R3" s="44" t="s">
        <v>151</v>
      </c>
      <c r="S3" s="44" t="s">
        <v>151</v>
      </c>
      <c r="T3" s="44" t="s">
        <v>153</v>
      </c>
      <c r="U3" s="44" t="s">
        <v>153</v>
      </c>
      <c r="V3" s="44" t="s">
        <v>153</v>
      </c>
      <c r="W3" s="44" t="s">
        <v>153</v>
      </c>
      <c r="X3" s="44" t="s">
        <v>153</v>
      </c>
      <c r="Y3" s="44" t="s">
        <v>153</v>
      </c>
      <c r="Z3" s="28" t="n">
        <f aca="false">COUNTA(B3:Y3)/2</f>
        <v>8.5</v>
      </c>
    </row>
    <row r="4" customFormat="false" ht="15.75" hidden="false" customHeight="true" outlineLevel="0" collapsed="false">
      <c r="A4" s="34"/>
      <c r="B4" s="44"/>
      <c r="C4" s="44"/>
      <c r="D4" s="44" t="s">
        <v>154</v>
      </c>
      <c r="E4" s="44" t="s">
        <v>154</v>
      </c>
      <c r="F4" s="44" t="s">
        <v>154</v>
      </c>
      <c r="G4" s="44" t="s">
        <v>154</v>
      </c>
      <c r="H4" s="44" t="s">
        <v>154</v>
      </c>
      <c r="I4" s="44" t="s">
        <v>154</v>
      </c>
      <c r="J4" s="45"/>
      <c r="K4" s="45"/>
      <c r="L4" s="44"/>
      <c r="M4" s="44"/>
      <c r="N4" s="46" t="s">
        <v>148</v>
      </c>
      <c r="O4" s="46" t="s">
        <v>148</v>
      </c>
      <c r="P4" s="46" t="s">
        <v>148</v>
      </c>
      <c r="Q4" s="46" t="s">
        <v>148</v>
      </c>
      <c r="R4" s="44"/>
      <c r="S4" s="44"/>
      <c r="T4" s="44"/>
      <c r="U4" s="44"/>
      <c r="V4" s="44"/>
      <c r="W4" s="44"/>
      <c r="X4" s="44"/>
      <c r="Y4" s="44"/>
      <c r="Z4" s="28" t="n">
        <f aca="false">COUNTA(B4:Y4)/2</f>
        <v>5</v>
      </c>
    </row>
    <row r="5" customFormat="false" ht="15.75" hidden="false" customHeight="true" outlineLevel="0" collapsed="false">
      <c r="A5" s="34"/>
      <c r="B5" s="44"/>
      <c r="C5" s="44"/>
      <c r="D5" s="44"/>
      <c r="E5" s="44"/>
      <c r="F5" s="44"/>
      <c r="G5" s="44"/>
      <c r="H5" s="44" t="s">
        <v>155</v>
      </c>
      <c r="I5" s="44" t="s">
        <v>155</v>
      </c>
      <c r="J5" s="44" t="s">
        <v>155</v>
      </c>
      <c r="K5" s="44" t="s">
        <v>155</v>
      </c>
      <c r="L5" s="44" t="s">
        <v>155</v>
      </c>
      <c r="M5" s="44" t="s">
        <v>155</v>
      </c>
      <c r="N5" s="44" t="s">
        <v>155</v>
      </c>
      <c r="O5" s="44" t="s">
        <v>155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28" t="n">
        <f aca="false">COUNTA(B5:Y5)/2</f>
        <v>4</v>
      </c>
    </row>
    <row r="6" customFormat="false" ht="15.75" hidden="false" customHeight="true" outlineLevel="0" collapsed="false">
      <c r="A6" s="34"/>
      <c r="B6" s="44"/>
      <c r="C6" s="44"/>
      <c r="D6" s="44"/>
      <c r="E6" s="44"/>
      <c r="F6" s="44"/>
      <c r="G6" s="44"/>
      <c r="H6" s="44"/>
      <c r="I6" s="44" t="s">
        <v>156</v>
      </c>
      <c r="J6" s="44" t="s">
        <v>156</v>
      </c>
      <c r="K6" s="44" t="s">
        <v>156</v>
      </c>
      <c r="L6" s="44" t="s">
        <v>156</v>
      </c>
      <c r="M6" s="44" t="s">
        <v>157</v>
      </c>
      <c r="N6" s="44" t="s">
        <v>157</v>
      </c>
      <c r="O6" s="44" t="s">
        <v>157</v>
      </c>
      <c r="P6" s="44" t="s">
        <v>157</v>
      </c>
      <c r="Q6" s="44" t="s">
        <v>157</v>
      </c>
      <c r="R6" s="44" t="s">
        <v>157</v>
      </c>
      <c r="S6" s="44"/>
      <c r="T6" s="44"/>
      <c r="U6" s="44"/>
      <c r="V6" s="44"/>
      <c r="W6" s="44"/>
      <c r="X6" s="44"/>
      <c r="Y6" s="44"/>
      <c r="Z6" s="28" t="n">
        <f aca="false">COUNTA(B6:Y6)/2</f>
        <v>5</v>
      </c>
    </row>
    <row r="7" customFormat="false" ht="15.75" hidden="false" customHeight="true" outlineLevel="0" collapsed="false">
      <c r="A7" s="34"/>
      <c r="B7" s="44"/>
      <c r="C7" s="44"/>
      <c r="D7" s="44"/>
      <c r="E7" s="44"/>
      <c r="F7" s="44"/>
      <c r="G7" s="44"/>
      <c r="H7" s="44"/>
      <c r="I7" s="44"/>
      <c r="J7" s="44"/>
      <c r="K7" s="44"/>
      <c r="L7" s="44" t="s">
        <v>158</v>
      </c>
      <c r="M7" s="44" t="s">
        <v>158</v>
      </c>
      <c r="N7" s="44" t="s">
        <v>158</v>
      </c>
      <c r="O7" s="44" t="s">
        <v>158</v>
      </c>
      <c r="P7" s="44" t="s">
        <v>158</v>
      </c>
      <c r="Q7" s="44" t="s">
        <v>158</v>
      </c>
      <c r="R7" s="44" t="s">
        <v>158</v>
      </c>
      <c r="S7" s="44" t="s">
        <v>158</v>
      </c>
      <c r="T7" s="44"/>
      <c r="U7" s="44"/>
      <c r="V7" s="44"/>
      <c r="W7" s="44"/>
      <c r="X7" s="44"/>
      <c r="Y7" s="44"/>
      <c r="Z7" s="28" t="n">
        <f aca="false">COUNTA(B7:Y7)/2</f>
        <v>4</v>
      </c>
    </row>
    <row r="8" customFormat="false" ht="15.75" hidden="false" customHeight="true" outlineLevel="0" collapsed="false">
      <c r="A8" s="34" t="s">
        <v>66</v>
      </c>
      <c r="B8" s="44"/>
      <c r="C8" s="44"/>
      <c r="D8" s="44" t="s">
        <v>159</v>
      </c>
      <c r="E8" s="44" t="s">
        <v>159</v>
      </c>
      <c r="F8" s="44" t="s">
        <v>159</v>
      </c>
      <c r="G8" s="44" t="s">
        <v>159</v>
      </c>
      <c r="H8" s="44" t="s">
        <v>159</v>
      </c>
      <c r="I8" s="44" t="s">
        <v>159</v>
      </c>
      <c r="J8" s="44" t="s">
        <v>159</v>
      </c>
      <c r="K8" s="44" t="s">
        <v>159</v>
      </c>
      <c r="L8" s="44"/>
      <c r="M8" s="44"/>
      <c r="N8" s="44" t="s">
        <v>160</v>
      </c>
      <c r="O8" s="44" t="s">
        <v>160</v>
      </c>
      <c r="P8" s="44" t="s">
        <v>160</v>
      </c>
      <c r="Q8" s="44" t="s">
        <v>160</v>
      </c>
      <c r="R8" s="44" t="s">
        <v>160</v>
      </c>
      <c r="S8" s="44" t="s">
        <v>160</v>
      </c>
      <c r="T8" s="44" t="s">
        <v>160</v>
      </c>
      <c r="U8" s="44" t="s">
        <v>160</v>
      </c>
      <c r="V8" s="47" t="s">
        <v>160</v>
      </c>
      <c r="W8" s="47" t="s">
        <v>160</v>
      </c>
      <c r="X8" s="44"/>
      <c r="Y8" s="44"/>
      <c r="Z8" s="28" t="n">
        <f aca="false">COUNTA(B8:Y8)/2</f>
        <v>9</v>
      </c>
    </row>
    <row r="9" customFormat="false" ht="15.75" hidden="false" customHeight="true" outlineLevel="0" collapsed="false">
      <c r="A9" s="34"/>
      <c r="B9" s="44"/>
      <c r="C9" s="44"/>
      <c r="D9" s="44"/>
      <c r="E9" s="44"/>
      <c r="F9" s="44"/>
      <c r="G9" s="44"/>
      <c r="H9" s="44"/>
      <c r="I9" s="44"/>
      <c r="J9" s="44" t="s">
        <v>150</v>
      </c>
      <c r="K9" s="44" t="s">
        <v>150</v>
      </c>
      <c r="L9" s="44" t="s">
        <v>150</v>
      </c>
      <c r="M9" s="44" t="s">
        <v>150</v>
      </c>
      <c r="N9" s="44"/>
      <c r="O9" s="44"/>
      <c r="P9" s="46" t="s">
        <v>148</v>
      </c>
      <c r="Q9" s="46" t="s">
        <v>148</v>
      </c>
      <c r="R9" s="44"/>
      <c r="S9" s="44"/>
      <c r="T9" s="44"/>
      <c r="U9" s="44"/>
      <c r="V9" s="44"/>
      <c r="W9" s="44"/>
      <c r="X9" s="44"/>
      <c r="Y9" s="44"/>
      <c r="Z9" s="28" t="n">
        <f aca="false">COUNTA(B9:Y9)/2</f>
        <v>3</v>
      </c>
    </row>
    <row r="10" customFormat="false" ht="15.75" hidden="false" customHeight="true" outlineLevel="0" collapsed="false">
      <c r="A10" s="34"/>
      <c r="B10" s="44"/>
      <c r="C10" s="44"/>
      <c r="D10" s="44"/>
      <c r="E10" s="44"/>
      <c r="F10" s="44"/>
      <c r="G10" s="44"/>
      <c r="H10" s="44" t="s">
        <v>152</v>
      </c>
      <c r="I10" s="44" t="s">
        <v>152</v>
      </c>
      <c r="J10" s="44" t="s">
        <v>152</v>
      </c>
      <c r="K10" s="44" t="s">
        <v>152</v>
      </c>
      <c r="L10" s="44"/>
      <c r="M10" s="44" t="s">
        <v>156</v>
      </c>
      <c r="N10" s="44" t="s">
        <v>156</v>
      </c>
      <c r="O10" s="44" t="s">
        <v>156</v>
      </c>
      <c r="P10" s="46" t="s">
        <v>156</v>
      </c>
      <c r="Q10" s="46"/>
      <c r="R10" s="44"/>
      <c r="S10" s="44"/>
      <c r="T10" s="44"/>
      <c r="U10" s="44"/>
      <c r="V10" s="44"/>
      <c r="W10" s="44"/>
      <c r="X10" s="44"/>
      <c r="Y10" s="44"/>
      <c r="Z10" s="28" t="n">
        <f aca="false">COUNTA(B10:Y10)/2</f>
        <v>4</v>
      </c>
    </row>
    <row r="11" customFormat="false" ht="15.75" hidden="false" customHeight="true" outlineLevel="0" collapsed="false">
      <c r="A11" s="34"/>
      <c r="B11" s="44"/>
      <c r="C11" s="44"/>
      <c r="D11" s="44"/>
      <c r="E11" s="44"/>
      <c r="F11" s="44"/>
      <c r="G11" s="44"/>
      <c r="H11" s="44" t="s">
        <v>160</v>
      </c>
      <c r="I11" s="44" t="s">
        <v>160</v>
      </c>
      <c r="J11" s="44" t="s">
        <v>160</v>
      </c>
      <c r="K11" s="44" t="s">
        <v>160</v>
      </c>
      <c r="L11" s="44"/>
      <c r="M11" s="44"/>
      <c r="N11" s="44" t="s">
        <v>161</v>
      </c>
      <c r="O11" s="44" t="s">
        <v>161</v>
      </c>
      <c r="P11" s="44" t="s">
        <v>161</v>
      </c>
      <c r="Q11" s="44" t="s">
        <v>161</v>
      </c>
      <c r="R11" s="44"/>
      <c r="S11" s="44"/>
      <c r="T11" s="44"/>
      <c r="U11" s="44"/>
      <c r="V11" s="44"/>
      <c r="W11" s="44"/>
      <c r="X11" s="44"/>
      <c r="Y11" s="44"/>
      <c r="Z11" s="28" t="n">
        <f aca="false">COUNTA(B11:Y11)/2</f>
        <v>4</v>
      </c>
    </row>
    <row r="12" customFormat="false" ht="15.75" hidden="false" customHeight="true" outlineLevel="0" collapsed="false">
      <c r="A12" s="34"/>
      <c r="B12" s="44"/>
      <c r="C12" s="44"/>
      <c r="D12" s="44"/>
      <c r="E12" s="44"/>
      <c r="F12" s="44" t="s">
        <v>162</v>
      </c>
      <c r="G12" s="44" t="s">
        <v>162</v>
      </c>
      <c r="H12" s="44" t="s">
        <v>162</v>
      </c>
      <c r="I12" s="44" t="s">
        <v>162</v>
      </c>
      <c r="J12" s="44" t="s">
        <v>162</v>
      </c>
      <c r="K12" s="44" t="s">
        <v>162</v>
      </c>
      <c r="L12" s="44" t="s">
        <v>162</v>
      </c>
      <c r="M12" s="44" t="s">
        <v>162</v>
      </c>
      <c r="N12" s="44" t="s">
        <v>163</v>
      </c>
      <c r="O12" s="44" t="s">
        <v>163</v>
      </c>
      <c r="P12" s="44" t="s">
        <v>163</v>
      </c>
      <c r="Q12" s="44" t="s">
        <v>163</v>
      </c>
      <c r="R12" s="44" t="s">
        <v>163</v>
      </c>
      <c r="S12" s="44" t="s">
        <v>163</v>
      </c>
      <c r="T12" s="44"/>
      <c r="U12" s="44"/>
      <c r="V12" s="44"/>
      <c r="W12" s="44"/>
      <c r="X12" s="44"/>
      <c r="Y12" s="44"/>
      <c r="Z12" s="28" t="n">
        <f aca="false">COUNTA(B12:Y12)/2</f>
        <v>7</v>
      </c>
    </row>
    <row r="13" customFormat="false" ht="15.75" hidden="false" customHeight="true" outlineLevel="0" collapsed="false">
      <c r="A13" s="34"/>
      <c r="B13" s="44"/>
      <c r="C13" s="44"/>
      <c r="D13" s="44" t="s">
        <v>164</v>
      </c>
      <c r="E13" s="44" t="s">
        <v>164</v>
      </c>
      <c r="F13" s="44" t="s">
        <v>164</v>
      </c>
      <c r="G13" s="44" t="s">
        <v>164</v>
      </c>
      <c r="H13" s="44" t="s">
        <v>164</v>
      </c>
      <c r="I13" s="44" t="s">
        <v>164</v>
      </c>
      <c r="J13" s="44" t="s">
        <v>164</v>
      </c>
      <c r="K13" s="44" t="s">
        <v>164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28" t="n">
        <f aca="false">COUNTA(B13:Y13)/2</f>
        <v>4</v>
      </c>
    </row>
    <row r="14" customFormat="false" ht="15.75" hidden="false" customHeight="true" outlineLevel="0" collapsed="false">
      <c r="A14" s="34" t="s">
        <v>73</v>
      </c>
      <c r="B14" s="44"/>
      <c r="C14" s="44"/>
      <c r="D14" s="44"/>
      <c r="E14" s="44" t="s">
        <v>148</v>
      </c>
      <c r="F14" s="44" t="s">
        <v>148</v>
      </c>
      <c r="G14" s="44"/>
      <c r="H14" s="44" t="s">
        <v>149</v>
      </c>
      <c r="I14" s="44" t="s">
        <v>149</v>
      </c>
      <c r="J14" s="44" t="s">
        <v>149</v>
      </c>
      <c r="K14" s="44" t="s">
        <v>149</v>
      </c>
      <c r="L14" s="44" t="s">
        <v>149</v>
      </c>
      <c r="M14" s="44" t="s">
        <v>149</v>
      </c>
      <c r="N14" s="44" t="s">
        <v>149</v>
      </c>
      <c r="O14" s="44" t="s">
        <v>149</v>
      </c>
      <c r="P14" s="44"/>
      <c r="Q14" s="44"/>
      <c r="R14" s="44" t="s">
        <v>150</v>
      </c>
      <c r="S14" s="44" t="s">
        <v>150</v>
      </c>
      <c r="T14" s="44" t="s">
        <v>150</v>
      </c>
      <c r="U14" s="44" t="s">
        <v>150</v>
      </c>
      <c r="V14" s="48"/>
      <c r="W14" s="48"/>
      <c r="X14" s="48"/>
      <c r="Y14" s="48"/>
      <c r="Z14" s="28" t="n">
        <f aca="false">COUNTA(B14:Y14)/2</f>
        <v>7</v>
      </c>
    </row>
    <row r="15" customFormat="false" ht="15.75" hidden="false" customHeight="true" outlineLevel="0" collapsed="false">
      <c r="A15" s="34"/>
      <c r="B15" s="44"/>
      <c r="C15" s="44"/>
      <c r="D15" s="44"/>
      <c r="E15" s="44"/>
      <c r="F15" s="44"/>
      <c r="G15" s="44"/>
      <c r="H15" s="44" t="s">
        <v>151</v>
      </c>
      <c r="I15" s="44" t="s">
        <v>151</v>
      </c>
      <c r="J15" s="44" t="s">
        <v>151</v>
      </c>
      <c r="K15" s="44" t="s">
        <v>151</v>
      </c>
      <c r="L15" s="44" t="s">
        <v>152</v>
      </c>
      <c r="M15" s="44" t="s">
        <v>152</v>
      </c>
      <c r="N15" s="44" t="s">
        <v>152</v>
      </c>
      <c r="O15" s="44"/>
      <c r="P15" s="44" t="s">
        <v>151</v>
      </c>
      <c r="Q15" s="44" t="s">
        <v>151</v>
      </c>
      <c r="R15" s="44" t="s">
        <v>151</v>
      </c>
      <c r="S15" s="44" t="s">
        <v>151</v>
      </c>
      <c r="T15" s="44" t="s">
        <v>153</v>
      </c>
      <c r="U15" s="44" t="s">
        <v>153</v>
      </c>
      <c r="V15" s="48"/>
      <c r="W15" s="48"/>
      <c r="X15" s="48"/>
      <c r="Y15" s="48"/>
      <c r="Z15" s="28" t="n">
        <f aca="false">COUNTA(B15:Y15)/2</f>
        <v>6.5</v>
      </c>
    </row>
    <row r="16" customFormat="false" ht="15.75" hidden="false" customHeight="true" outlineLevel="0" collapsed="false">
      <c r="A16" s="34"/>
      <c r="B16" s="44"/>
      <c r="C16" s="44"/>
      <c r="D16" s="44" t="s">
        <v>154</v>
      </c>
      <c r="E16" s="44" t="s">
        <v>154</v>
      </c>
      <c r="F16" s="44" t="s">
        <v>154</v>
      </c>
      <c r="G16" s="44" t="s">
        <v>154</v>
      </c>
      <c r="H16" s="44" t="s">
        <v>154</v>
      </c>
      <c r="I16" s="44" t="s">
        <v>154</v>
      </c>
      <c r="J16" s="45"/>
      <c r="K16" s="45"/>
      <c r="L16" s="44"/>
      <c r="M16" s="44"/>
      <c r="N16" s="44" t="s">
        <v>148</v>
      </c>
      <c r="O16" s="44" t="s">
        <v>148</v>
      </c>
      <c r="P16" s="44" t="s">
        <v>148</v>
      </c>
      <c r="Q16" s="44" t="s">
        <v>148</v>
      </c>
      <c r="R16" s="44"/>
      <c r="S16" s="44"/>
      <c r="T16" s="44" t="s">
        <v>163</v>
      </c>
      <c r="U16" s="44" t="s">
        <v>163</v>
      </c>
      <c r="V16" s="48"/>
      <c r="W16" s="48"/>
      <c r="X16" s="48"/>
      <c r="Y16" s="48"/>
      <c r="Z16" s="28" t="n">
        <f aca="false">COUNTA(B16:Y16)/2</f>
        <v>6</v>
      </c>
    </row>
    <row r="17" customFormat="false" ht="15.75" hidden="false" customHeight="true" outlineLevel="0" collapsed="false">
      <c r="A17" s="34"/>
      <c r="B17" s="44"/>
      <c r="C17" s="44"/>
      <c r="D17" s="44"/>
      <c r="E17" s="44"/>
      <c r="F17" s="44" t="s">
        <v>165</v>
      </c>
      <c r="G17" s="44" t="s">
        <v>165</v>
      </c>
      <c r="H17" s="44"/>
      <c r="I17" s="44"/>
      <c r="J17" s="44"/>
      <c r="K17" s="44" t="s">
        <v>165</v>
      </c>
      <c r="L17" s="44" t="s">
        <v>165</v>
      </c>
      <c r="M17" s="44" t="s">
        <v>165</v>
      </c>
      <c r="N17" s="44" t="s">
        <v>165</v>
      </c>
      <c r="O17" s="34"/>
      <c r="P17" s="34"/>
      <c r="Q17" s="34"/>
      <c r="R17" s="34"/>
      <c r="S17" s="34"/>
      <c r="T17" s="44"/>
      <c r="U17" s="44"/>
      <c r="V17" s="48"/>
      <c r="W17" s="48"/>
      <c r="X17" s="48"/>
      <c r="Y17" s="48"/>
      <c r="Z17" s="28" t="n">
        <f aca="false">COUNTA(B17:Y17)/2</f>
        <v>3</v>
      </c>
    </row>
    <row r="18" customFormat="false" ht="15.75" hidden="false" customHeight="true" outlineLevel="0" collapsed="false">
      <c r="A18" s="34"/>
      <c r="B18" s="44"/>
      <c r="C18" s="44"/>
      <c r="D18" s="44"/>
      <c r="E18" s="44"/>
      <c r="F18" s="44"/>
      <c r="G18" s="44"/>
      <c r="H18" s="44" t="s">
        <v>155</v>
      </c>
      <c r="I18" s="44" t="s">
        <v>155</v>
      </c>
      <c r="J18" s="44" t="s">
        <v>155</v>
      </c>
      <c r="K18" s="44" t="s">
        <v>155</v>
      </c>
      <c r="L18" s="44" t="s">
        <v>155</v>
      </c>
      <c r="M18" s="44" t="s">
        <v>155</v>
      </c>
      <c r="N18" s="44" t="s">
        <v>155</v>
      </c>
      <c r="O18" s="44" t="s">
        <v>155</v>
      </c>
      <c r="P18" s="34"/>
      <c r="Q18" s="34"/>
      <c r="R18" s="34"/>
      <c r="S18" s="34"/>
      <c r="T18" s="44"/>
      <c r="U18" s="44"/>
      <c r="V18" s="48"/>
      <c r="W18" s="48"/>
      <c r="X18" s="48"/>
      <c r="Y18" s="48"/>
      <c r="Z18" s="28" t="n">
        <f aca="false">COUNTA(B18:Y18)/2</f>
        <v>4</v>
      </c>
    </row>
    <row r="19" customFormat="false" ht="15.75" hidden="false" customHeight="true" outlineLevel="0" collapsed="false">
      <c r="A19" s="34"/>
      <c r="B19" s="44"/>
      <c r="C19" s="44"/>
      <c r="D19" s="44"/>
      <c r="E19" s="44"/>
      <c r="F19" s="44"/>
      <c r="G19" s="44"/>
      <c r="H19" s="44"/>
      <c r="I19" s="44" t="s">
        <v>156</v>
      </c>
      <c r="J19" s="44" t="s">
        <v>156</v>
      </c>
      <c r="K19" s="44" t="s">
        <v>156</v>
      </c>
      <c r="L19" s="44" t="s">
        <v>156</v>
      </c>
      <c r="M19" s="44" t="s">
        <v>157</v>
      </c>
      <c r="N19" s="44" t="s">
        <v>157</v>
      </c>
      <c r="O19" s="44" t="s">
        <v>157</v>
      </c>
      <c r="P19" s="44" t="s">
        <v>157</v>
      </c>
      <c r="Q19" s="44" t="s">
        <v>157</v>
      </c>
      <c r="R19" s="44" t="s">
        <v>157</v>
      </c>
      <c r="S19" s="34"/>
      <c r="T19" s="44"/>
      <c r="U19" s="44"/>
      <c r="V19" s="48"/>
      <c r="W19" s="48"/>
      <c r="X19" s="48"/>
      <c r="Y19" s="48"/>
      <c r="Z19" s="28" t="n">
        <f aca="false">COUNTA(B19:Y19)/2</f>
        <v>5</v>
      </c>
    </row>
    <row r="20" customFormat="false" ht="15.75" hidden="false" customHeight="true" outlineLevel="0" collapsed="false">
      <c r="A20" s="3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 t="s">
        <v>158</v>
      </c>
      <c r="M20" s="44" t="s">
        <v>158</v>
      </c>
      <c r="N20" s="44" t="s">
        <v>158</v>
      </c>
      <c r="O20" s="44" t="s">
        <v>158</v>
      </c>
      <c r="P20" s="44" t="s">
        <v>158</v>
      </c>
      <c r="Q20" s="44" t="s">
        <v>158</v>
      </c>
      <c r="R20" s="44" t="s">
        <v>158</v>
      </c>
      <c r="S20" s="44" t="s">
        <v>158</v>
      </c>
      <c r="T20" s="44"/>
      <c r="U20" s="44"/>
      <c r="V20" s="48"/>
      <c r="W20" s="48"/>
      <c r="X20" s="48"/>
      <c r="Y20" s="48"/>
      <c r="Z20" s="28" t="n">
        <f aca="false">COUNTA(B20:Y20)/2</f>
        <v>4</v>
      </c>
    </row>
    <row r="21" customFormat="false" ht="15.75" hidden="false" customHeight="true" outlineLevel="0" collapsed="false">
      <c r="A21" s="34" t="s">
        <v>75</v>
      </c>
      <c r="B21" s="44"/>
      <c r="C21" s="44"/>
      <c r="D21" s="44" t="s">
        <v>159</v>
      </c>
      <c r="E21" s="44" t="s">
        <v>159</v>
      </c>
      <c r="F21" s="44" t="s">
        <v>159</v>
      </c>
      <c r="G21" s="44" t="s">
        <v>159</v>
      </c>
      <c r="H21" s="44" t="s">
        <v>159</v>
      </c>
      <c r="I21" s="44" t="s">
        <v>159</v>
      </c>
      <c r="J21" s="44" t="s">
        <v>159</v>
      </c>
      <c r="K21" s="44" t="s">
        <v>159</v>
      </c>
      <c r="L21" s="44"/>
      <c r="M21" s="44"/>
      <c r="N21" s="44"/>
      <c r="O21" s="44"/>
      <c r="P21" s="44" t="s">
        <v>148</v>
      </c>
      <c r="Q21" s="44" t="s">
        <v>148</v>
      </c>
      <c r="R21" s="44"/>
      <c r="S21" s="44"/>
      <c r="T21" s="44" t="s">
        <v>160</v>
      </c>
      <c r="U21" s="44" t="s">
        <v>160</v>
      </c>
      <c r="V21" s="44"/>
      <c r="W21" s="44"/>
      <c r="X21" s="44"/>
      <c r="Y21" s="44"/>
      <c r="Z21" s="28" t="n">
        <f aca="false">COUNTA(B21:Y21)/2</f>
        <v>6</v>
      </c>
    </row>
    <row r="22" customFormat="false" ht="15.75" hidden="false" customHeight="true" outlineLevel="0" collapsed="false">
      <c r="A22" s="34"/>
      <c r="B22" s="44"/>
      <c r="C22" s="44"/>
      <c r="D22" s="44"/>
      <c r="E22" s="44"/>
      <c r="F22" s="44"/>
      <c r="G22" s="44"/>
      <c r="H22" s="44"/>
      <c r="I22" s="44"/>
      <c r="J22" s="44" t="s">
        <v>150</v>
      </c>
      <c r="K22" s="44" t="s">
        <v>150</v>
      </c>
      <c r="L22" s="44" t="s">
        <v>150</v>
      </c>
      <c r="M22" s="44" t="s">
        <v>150</v>
      </c>
      <c r="N22" s="44" t="s">
        <v>161</v>
      </c>
      <c r="O22" s="44" t="s">
        <v>161</v>
      </c>
      <c r="P22" s="44" t="s">
        <v>161</v>
      </c>
      <c r="Q22" s="44" t="s">
        <v>161</v>
      </c>
      <c r="R22" s="44"/>
      <c r="S22" s="44"/>
      <c r="T22" s="44"/>
      <c r="U22" s="44"/>
      <c r="V22" s="44"/>
      <c r="W22" s="44"/>
      <c r="X22" s="44"/>
      <c r="Y22" s="44"/>
      <c r="Z22" s="28" t="n">
        <f aca="false">COUNTA(B22:Y22)/2</f>
        <v>4</v>
      </c>
    </row>
    <row r="23" customFormat="false" ht="15.75" hidden="false" customHeight="true" outlineLevel="0" collapsed="false">
      <c r="A23" s="34"/>
      <c r="B23" s="44"/>
      <c r="C23" s="44"/>
      <c r="D23" s="44"/>
      <c r="E23" s="44"/>
      <c r="F23" s="44"/>
      <c r="G23" s="44"/>
      <c r="H23" s="44" t="s">
        <v>152</v>
      </c>
      <c r="I23" s="44" t="s">
        <v>152</v>
      </c>
      <c r="J23" s="44" t="s">
        <v>152</v>
      </c>
      <c r="K23" s="44" t="s">
        <v>152</v>
      </c>
      <c r="L23" s="44"/>
      <c r="M23" s="44" t="s">
        <v>156</v>
      </c>
      <c r="N23" s="44" t="s">
        <v>156</v>
      </c>
      <c r="O23" s="44" t="s">
        <v>156</v>
      </c>
      <c r="P23" s="44" t="s">
        <v>156</v>
      </c>
      <c r="Q23" s="44"/>
      <c r="R23" s="44"/>
      <c r="S23" s="44"/>
      <c r="T23" s="44"/>
      <c r="U23" s="44"/>
      <c r="V23" s="44"/>
      <c r="W23" s="44"/>
      <c r="X23" s="44"/>
      <c r="Y23" s="44"/>
      <c r="Z23" s="28" t="n">
        <f aca="false">COUNTA(B23:Y23)/2</f>
        <v>4</v>
      </c>
    </row>
    <row r="24" customFormat="false" ht="15.75" hidden="false" customHeight="true" outlineLevel="0" collapsed="false">
      <c r="A24" s="34"/>
      <c r="B24" s="44"/>
      <c r="C24" s="44"/>
      <c r="D24" s="44"/>
      <c r="E24" s="44"/>
      <c r="F24" s="34" t="s">
        <v>162</v>
      </c>
      <c r="G24" s="34" t="s">
        <v>162</v>
      </c>
      <c r="H24" s="34" t="s">
        <v>162</v>
      </c>
      <c r="I24" s="34" t="s">
        <v>162</v>
      </c>
      <c r="J24" s="34" t="s">
        <v>162</v>
      </c>
      <c r="K24" s="34" t="s">
        <v>162</v>
      </c>
      <c r="L24" s="34" t="s">
        <v>162</v>
      </c>
      <c r="M24" s="34" t="s">
        <v>162</v>
      </c>
      <c r="N24" s="44" t="s">
        <v>163</v>
      </c>
      <c r="O24" s="44" t="s">
        <v>163</v>
      </c>
      <c r="P24" s="44" t="s">
        <v>163</v>
      </c>
      <c r="Q24" s="44" t="s">
        <v>163</v>
      </c>
      <c r="R24" s="44" t="s">
        <v>163</v>
      </c>
      <c r="S24" s="44" t="s">
        <v>163</v>
      </c>
      <c r="T24" s="44"/>
      <c r="U24" s="44"/>
      <c r="V24" s="44"/>
      <c r="W24" s="44"/>
      <c r="X24" s="44"/>
      <c r="Y24" s="44"/>
      <c r="Z24" s="28" t="n">
        <f aca="false">COUNTA(B24:Y24)/2</f>
        <v>7</v>
      </c>
    </row>
    <row r="25" customFormat="false" ht="15.75" hidden="false" customHeight="true" outlineLevel="0" collapsed="false">
      <c r="A25" s="34"/>
      <c r="B25" s="44"/>
      <c r="C25" s="44"/>
      <c r="D25" s="44" t="s">
        <v>164</v>
      </c>
      <c r="E25" s="44" t="s">
        <v>164</v>
      </c>
      <c r="F25" s="44" t="s">
        <v>164</v>
      </c>
      <c r="G25" s="44" t="s">
        <v>164</v>
      </c>
      <c r="H25" s="44" t="s">
        <v>164</v>
      </c>
      <c r="I25" s="44" t="s">
        <v>164</v>
      </c>
      <c r="J25" s="44" t="s">
        <v>164</v>
      </c>
      <c r="K25" s="44" t="s">
        <v>164</v>
      </c>
      <c r="L25" s="34"/>
      <c r="M25" s="3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28" t="n">
        <f aca="false">COUNTA(B25:Y25)/2</f>
        <v>4</v>
      </c>
    </row>
    <row r="26" customFormat="false" ht="15.75" hidden="false" customHeight="true" outlineLevel="0" collapsed="false">
      <c r="A26" s="34" t="s">
        <v>76</v>
      </c>
      <c r="B26" s="44"/>
      <c r="C26" s="44"/>
      <c r="D26" s="44" t="s">
        <v>154</v>
      </c>
      <c r="E26" s="44" t="s">
        <v>154</v>
      </c>
      <c r="F26" s="44" t="s">
        <v>154</v>
      </c>
      <c r="G26" s="44" t="s">
        <v>154</v>
      </c>
      <c r="H26" s="48"/>
      <c r="I26" s="48"/>
      <c r="J26" s="48"/>
      <c r="K26" s="48"/>
      <c r="L26" s="44" t="s">
        <v>163</v>
      </c>
      <c r="M26" s="44" t="s">
        <v>163</v>
      </c>
      <c r="N26" s="44"/>
      <c r="O26" s="44"/>
      <c r="P26" s="44" t="s">
        <v>161</v>
      </c>
      <c r="Q26" s="44" t="s">
        <v>161</v>
      </c>
      <c r="R26" s="44" t="s">
        <v>161</v>
      </c>
      <c r="S26" s="44" t="s">
        <v>161</v>
      </c>
      <c r="T26" s="44"/>
      <c r="U26" s="44"/>
      <c r="V26" s="44"/>
      <c r="W26" s="44"/>
      <c r="X26" s="44"/>
      <c r="Y26" s="44"/>
      <c r="Z26" s="28" t="n">
        <f aca="false">COUNTA(B26:Y26)/2</f>
        <v>5</v>
      </c>
    </row>
    <row r="27" customFormat="false" ht="15.75" hidden="false" customHeight="true" outlineLevel="0" collapsed="false">
      <c r="A27" s="34"/>
      <c r="B27" s="44"/>
      <c r="C27" s="44"/>
      <c r="D27" s="44" t="s">
        <v>166</v>
      </c>
      <c r="E27" s="44" t="s">
        <v>166</v>
      </c>
      <c r="F27" s="44" t="s">
        <v>166</v>
      </c>
      <c r="G27" s="44" t="s">
        <v>166</v>
      </c>
      <c r="H27" s="48"/>
      <c r="I27" s="48"/>
      <c r="J27" s="48"/>
      <c r="K27" s="48"/>
      <c r="L27" s="44" t="s">
        <v>166</v>
      </c>
      <c r="M27" s="44" t="s">
        <v>166</v>
      </c>
      <c r="N27" s="44" t="s">
        <v>166</v>
      </c>
      <c r="O27" s="44" t="s">
        <v>166</v>
      </c>
      <c r="P27" s="44" t="s">
        <v>166</v>
      </c>
      <c r="Q27" s="44" t="s">
        <v>166</v>
      </c>
      <c r="R27" s="44" t="s">
        <v>166</v>
      </c>
      <c r="S27" s="44" t="s">
        <v>166</v>
      </c>
      <c r="T27" s="44" t="s">
        <v>166</v>
      </c>
      <c r="U27" s="44" t="s">
        <v>166</v>
      </c>
      <c r="V27" s="44" t="s">
        <v>166</v>
      </c>
      <c r="W27" s="44" t="s">
        <v>166</v>
      </c>
      <c r="X27" s="44"/>
      <c r="Y27" s="44"/>
      <c r="Z27" s="28" t="n">
        <f aca="false">COUNTA(B27:Y27)/2</f>
        <v>8</v>
      </c>
    </row>
    <row r="28" customFormat="false" ht="15.75" hidden="false" customHeight="true" outlineLevel="0" collapsed="false">
      <c r="A28" s="34"/>
      <c r="B28" s="44"/>
      <c r="C28" s="44"/>
      <c r="D28" s="44"/>
      <c r="E28" s="44"/>
      <c r="F28" s="44"/>
      <c r="G28" s="44"/>
      <c r="H28" s="48"/>
      <c r="I28" s="48"/>
      <c r="J28" s="48"/>
      <c r="K28" s="48"/>
      <c r="L28" s="44" t="s">
        <v>152</v>
      </c>
      <c r="M28" s="44" t="s">
        <v>152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28" t="n">
        <f aca="false">COUNTA(B28:Y28)/2</f>
        <v>1</v>
      </c>
    </row>
    <row r="29" customFormat="false" ht="15.75" hidden="false" customHeight="true" outlineLevel="0" collapsed="false">
      <c r="A29" s="34"/>
      <c r="B29" s="44"/>
      <c r="C29" s="44"/>
      <c r="D29" s="44"/>
      <c r="E29" s="44"/>
      <c r="F29" s="44"/>
      <c r="G29" s="44"/>
      <c r="H29" s="48"/>
      <c r="I29" s="48"/>
      <c r="J29" s="48"/>
      <c r="K29" s="48"/>
      <c r="L29" s="44" t="s">
        <v>165</v>
      </c>
      <c r="M29" s="44" t="s">
        <v>165</v>
      </c>
      <c r="N29" s="44" t="s">
        <v>165</v>
      </c>
      <c r="O29" s="44" t="s">
        <v>165</v>
      </c>
      <c r="P29" s="44" t="s">
        <v>165</v>
      </c>
      <c r="Q29" s="44" t="s">
        <v>165</v>
      </c>
      <c r="R29" s="44" t="s">
        <v>165</v>
      </c>
      <c r="S29" s="44" t="s">
        <v>165</v>
      </c>
      <c r="T29" s="44"/>
      <c r="U29" s="44"/>
      <c r="V29" s="44"/>
      <c r="W29" s="44"/>
      <c r="X29" s="44"/>
      <c r="Y29" s="44"/>
      <c r="Z29" s="28" t="n">
        <f aca="false">COUNTA(B29:Y29)/2</f>
        <v>4</v>
      </c>
    </row>
    <row r="30" customFormat="false" ht="15.75" hidden="false" customHeight="true" outlineLevel="0" collapsed="false">
      <c r="A30" s="34"/>
      <c r="B30" s="44"/>
      <c r="C30" s="44"/>
      <c r="D30" s="44"/>
      <c r="E30" s="44"/>
      <c r="F30" s="44"/>
      <c r="G30" s="44"/>
      <c r="H30" s="48"/>
      <c r="I30" s="48"/>
      <c r="J30" s="48"/>
      <c r="K30" s="48"/>
      <c r="L30" s="44" t="s">
        <v>153</v>
      </c>
      <c r="M30" s="44" t="s">
        <v>153</v>
      </c>
      <c r="N30" s="44" t="s">
        <v>153</v>
      </c>
      <c r="O30" s="44" t="s">
        <v>153</v>
      </c>
      <c r="P30" s="44" t="s">
        <v>153</v>
      </c>
      <c r="Q30" s="44" t="s">
        <v>153</v>
      </c>
      <c r="R30" s="44" t="s">
        <v>153</v>
      </c>
      <c r="S30" s="44" t="s">
        <v>153</v>
      </c>
      <c r="T30" s="44"/>
      <c r="U30" s="44"/>
      <c r="V30" s="44"/>
      <c r="W30" s="44"/>
      <c r="X30" s="44"/>
      <c r="Y30" s="44"/>
      <c r="Z30" s="28" t="n">
        <f aca="false">COUNTA(B30:Y30)/2</f>
        <v>4</v>
      </c>
    </row>
    <row r="31" customFormat="false" ht="15.75" hidden="false" customHeight="true" outlineLevel="0" collapsed="false"/>
    <row r="32" customFormat="false" ht="15.75" hidden="false" customHeight="true" outlineLevel="0" collapsed="false">
      <c r="A32" s="43" t="s">
        <v>167</v>
      </c>
    </row>
    <row r="33" customFormat="false" ht="15.75" hidden="false" customHeight="true" outlineLevel="0" collapsed="false">
      <c r="A33" s="33" t="s">
        <v>24</v>
      </c>
      <c r="B33" s="34"/>
      <c r="C33" s="34"/>
      <c r="D33" s="44" t="s">
        <v>165</v>
      </c>
      <c r="E33" s="44" t="s">
        <v>165</v>
      </c>
      <c r="F33" s="34"/>
      <c r="G33" s="34"/>
      <c r="H33" s="34"/>
      <c r="I33" s="44" t="s">
        <v>168</v>
      </c>
      <c r="J33" s="44" t="s">
        <v>168</v>
      </c>
      <c r="K33" s="44" t="s">
        <v>168</v>
      </c>
      <c r="L33" s="44" t="s">
        <v>168</v>
      </c>
      <c r="M33" s="44" t="s">
        <v>168</v>
      </c>
      <c r="N33" s="44" t="s">
        <v>168</v>
      </c>
      <c r="O33" s="45"/>
      <c r="P33" s="45"/>
      <c r="Q33" s="34"/>
      <c r="R33" s="34"/>
      <c r="S33" s="34"/>
      <c r="T33" s="34"/>
      <c r="U33" s="34"/>
      <c r="V33" s="34"/>
      <c r="W33" s="34"/>
      <c r="X33" s="34"/>
      <c r="Y33" s="34"/>
    </row>
    <row r="34" customFormat="false" ht="15.75" hidden="false" customHeight="true" outlineLevel="0" collapsed="false">
      <c r="A34" s="33" t="s">
        <v>66</v>
      </c>
      <c r="B34" s="34"/>
      <c r="C34" s="34"/>
      <c r="D34" s="34"/>
      <c r="E34" s="34"/>
      <c r="F34" s="34"/>
      <c r="G34" s="34"/>
      <c r="H34" s="34"/>
      <c r="I34" s="45"/>
      <c r="J34" s="45"/>
      <c r="K34" s="44" t="s">
        <v>168</v>
      </c>
      <c r="L34" s="44" t="s">
        <v>168</v>
      </c>
      <c r="M34" s="44" t="s">
        <v>168</v>
      </c>
      <c r="N34" s="44" t="s">
        <v>168</v>
      </c>
      <c r="O34" s="44" t="s">
        <v>168</v>
      </c>
      <c r="P34" s="44" t="s">
        <v>168</v>
      </c>
      <c r="Q34" s="34"/>
      <c r="R34" s="44" t="s">
        <v>161</v>
      </c>
      <c r="S34" s="44" t="s">
        <v>161</v>
      </c>
      <c r="T34" s="34"/>
      <c r="U34" s="34"/>
      <c r="V34" s="34"/>
      <c r="W34" s="34"/>
      <c r="X34" s="34"/>
      <c r="Y34" s="34"/>
    </row>
    <row r="35" customFormat="false" ht="15.75" hidden="false" customHeight="true" outlineLevel="0" collapsed="false">
      <c r="A35" s="33" t="s">
        <v>73</v>
      </c>
      <c r="B35" s="34"/>
      <c r="C35" s="34"/>
      <c r="D35" s="34"/>
      <c r="E35" s="34"/>
      <c r="F35" s="34"/>
      <c r="G35" s="34"/>
      <c r="H35" s="34"/>
      <c r="I35" s="44" t="s">
        <v>168</v>
      </c>
      <c r="J35" s="44" t="s">
        <v>168</v>
      </c>
      <c r="K35" s="44" t="s">
        <v>168</v>
      </c>
      <c r="L35" s="44" t="s">
        <v>168</v>
      </c>
      <c r="M35" s="45"/>
      <c r="N35" s="45"/>
      <c r="O35" s="45"/>
      <c r="P35" s="45"/>
      <c r="Q35" s="34"/>
      <c r="R35" s="44"/>
      <c r="S35" s="44"/>
      <c r="T35" s="34"/>
      <c r="U35" s="34"/>
      <c r="V35" s="38"/>
      <c r="W35" s="38"/>
      <c r="X35" s="38"/>
      <c r="Y35" s="38"/>
    </row>
    <row r="36" customFormat="false" ht="15.75" hidden="false" customHeight="true" outlineLevel="0" collapsed="false">
      <c r="A36" s="33" t="s">
        <v>75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44" t="s">
        <v>157</v>
      </c>
      <c r="M36" s="44" t="s">
        <v>157</v>
      </c>
      <c r="N36" s="44" t="s">
        <v>157</v>
      </c>
      <c r="O36" s="44" t="s">
        <v>157</v>
      </c>
      <c r="P36" s="34"/>
      <c r="Q36" s="34"/>
      <c r="R36" s="44" t="s">
        <v>161</v>
      </c>
      <c r="S36" s="44" t="s">
        <v>161</v>
      </c>
      <c r="T36" s="34"/>
      <c r="U36" s="34"/>
      <c r="V36" s="34"/>
      <c r="W36" s="34"/>
      <c r="X36" s="34"/>
      <c r="Y36" s="34"/>
    </row>
    <row r="37" customFormat="false" ht="15.75" hidden="false" customHeight="true" outlineLevel="0" collapsed="false">
      <c r="A37" s="33" t="s">
        <v>76</v>
      </c>
      <c r="B37" s="34"/>
      <c r="C37" s="34"/>
      <c r="D37" s="34"/>
      <c r="E37" s="34"/>
      <c r="F37" s="34"/>
      <c r="G37" s="34"/>
      <c r="H37" s="38"/>
      <c r="I37" s="38"/>
      <c r="J37" s="38"/>
      <c r="K37" s="38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customFormat="false" ht="15.75" hidden="false" customHeight="true" outlineLevel="0" collapsed="false"/>
    <row r="39" customFormat="false" ht="15.75" hidden="false" customHeight="true" outlineLevel="0" collapsed="false">
      <c r="A39" s="31" t="s">
        <v>169</v>
      </c>
    </row>
    <row r="40" customFormat="false" ht="15.75" hidden="false" customHeight="true" outlineLevel="0" collapsed="false">
      <c r="A40" s="33" t="s">
        <v>24</v>
      </c>
      <c r="B40" s="34" t="n">
        <f aca="false">COUNTA(B2:B7,B33)</f>
        <v>0</v>
      </c>
      <c r="C40" s="34" t="n">
        <f aca="false">COUNTA(C2:C7,C33)</f>
        <v>0</v>
      </c>
      <c r="D40" s="34" t="n">
        <f aca="false">COUNTA(D2:D7,D33)</f>
        <v>2</v>
      </c>
      <c r="E40" s="34" t="n">
        <f aca="false">COUNTA(E2:E7,E33)</f>
        <v>3</v>
      </c>
      <c r="F40" s="34" t="n">
        <f aca="false">COUNTA(F2:F7,F33)</f>
        <v>2</v>
      </c>
      <c r="G40" s="34" t="n">
        <f aca="false">COUNTA(G2:G7,G33)</f>
        <v>1</v>
      </c>
      <c r="H40" s="34" t="n">
        <f aca="false">COUNTA(H2:H7,H33)</f>
        <v>4</v>
      </c>
      <c r="I40" s="34" t="n">
        <f aca="false">COUNTA(I2:I7,I33)</f>
        <v>6</v>
      </c>
      <c r="J40" s="34" t="n">
        <f aca="false">COUNTA(J2:J7,J33)</f>
        <v>5</v>
      </c>
      <c r="K40" s="34" t="n">
        <f aca="false">COUNTA(K2:K7,K33)</f>
        <v>5</v>
      </c>
      <c r="L40" s="34" t="n">
        <f aca="false">COUNTA(L2:L7,L33)</f>
        <v>6</v>
      </c>
      <c r="M40" s="34" t="n">
        <f aca="false">COUNTA(M2:M7,M33)</f>
        <v>6</v>
      </c>
      <c r="N40" s="34" t="n">
        <f aca="false">COUNTA(N2:N7,N33)</f>
        <v>7</v>
      </c>
      <c r="O40" s="34" t="n">
        <f aca="false">COUNTA(O2:O7,O33)</f>
        <v>5</v>
      </c>
      <c r="P40" s="34" t="n">
        <f aca="false">COUNTA(P2:P7,P33)</f>
        <v>4</v>
      </c>
      <c r="Q40" s="34" t="n">
        <f aca="false">COUNTA(Q2:Q7,Q33)</f>
        <v>4</v>
      </c>
      <c r="R40" s="34" t="n">
        <f aca="false">COUNTA(R2:R7,R33)</f>
        <v>4</v>
      </c>
      <c r="S40" s="34" t="n">
        <f aca="false">COUNTA(S2:S7,S33)</f>
        <v>3</v>
      </c>
      <c r="T40" s="34" t="n">
        <f aca="false">COUNTA(T2:T7,T33)</f>
        <v>2</v>
      </c>
      <c r="U40" s="34" t="n">
        <f aca="false">COUNTA(U2:U7,U33)</f>
        <v>2</v>
      </c>
      <c r="V40" s="34" t="n">
        <f aca="false">COUNTA(V2:V7,V33)</f>
        <v>1</v>
      </c>
      <c r="W40" s="34" t="n">
        <f aca="false">COUNTA(W2:W7,W33)</f>
        <v>1</v>
      </c>
      <c r="X40" s="34" t="n">
        <f aca="false">COUNTA(X2:X7,X33)</f>
        <v>1</v>
      </c>
      <c r="Y40" s="34" t="n">
        <f aca="false">COUNTA(Y2:Y7,Y33)</f>
        <v>1</v>
      </c>
    </row>
    <row r="41" customFormat="false" ht="15.75" hidden="false" customHeight="true" outlineLevel="0" collapsed="false">
      <c r="A41" s="33" t="s">
        <v>66</v>
      </c>
      <c r="B41" s="34" t="n">
        <f aca="false">COUNTA(B8:B13,B34)</f>
        <v>0</v>
      </c>
      <c r="C41" s="34" t="n">
        <f aca="false">COUNTA(C8:C13,C34)</f>
        <v>0</v>
      </c>
      <c r="D41" s="34" t="n">
        <f aca="false">COUNTA(D8:D13,D34)</f>
        <v>2</v>
      </c>
      <c r="E41" s="34" t="n">
        <f aca="false">COUNTA(E8:E13,E34)</f>
        <v>2</v>
      </c>
      <c r="F41" s="34" t="n">
        <f aca="false">COUNTA(F8:F13,F34)</f>
        <v>3</v>
      </c>
      <c r="G41" s="34" t="n">
        <f aca="false">COUNTA(G8:G13,G34)</f>
        <v>3</v>
      </c>
      <c r="H41" s="34" t="n">
        <f aca="false">COUNTA(H8:H13,H34)</f>
        <v>5</v>
      </c>
      <c r="I41" s="34" t="n">
        <f aca="false">COUNTA(I8:I13,I34)</f>
        <v>5</v>
      </c>
      <c r="J41" s="34" t="n">
        <f aca="false">COUNTA(J8:J13,J34)</f>
        <v>6</v>
      </c>
      <c r="K41" s="34" t="n">
        <f aca="false">COUNTA(K8:K13,K34)</f>
        <v>7</v>
      </c>
      <c r="L41" s="34" t="n">
        <f aca="false">COUNTA(L8:L13,L34)</f>
        <v>3</v>
      </c>
      <c r="M41" s="34" t="n">
        <f aca="false">COUNTA(M8:M13,M34)</f>
        <v>4</v>
      </c>
      <c r="N41" s="34" t="n">
        <f aca="false">COUNTA(N8:N13,N34)</f>
        <v>5</v>
      </c>
      <c r="O41" s="34" t="n">
        <f aca="false">COUNTA(O8:O13,O34)</f>
        <v>5</v>
      </c>
      <c r="P41" s="34" t="n">
        <f aca="false">COUNTA(P8:P13,P34)</f>
        <v>6</v>
      </c>
      <c r="Q41" s="34" t="n">
        <f aca="false">COUNTA(Q8:Q13,Q34)</f>
        <v>4</v>
      </c>
      <c r="R41" s="34" t="n">
        <f aca="false">COUNTA(R8:R13,R34)</f>
        <v>3</v>
      </c>
      <c r="S41" s="34" t="n">
        <f aca="false">COUNTA(S8:S13,S34)</f>
        <v>3</v>
      </c>
      <c r="T41" s="34" t="n">
        <f aca="false">COUNTA(T8:T13,T34)</f>
        <v>1</v>
      </c>
      <c r="U41" s="34" t="n">
        <f aca="false">COUNTA(U8:U13,U34)</f>
        <v>1</v>
      </c>
      <c r="V41" s="34" t="n">
        <f aca="false">COUNTA(V8:V13,V34)</f>
        <v>1</v>
      </c>
      <c r="W41" s="34" t="n">
        <f aca="false">COUNTA(W8:W13,W34)</f>
        <v>1</v>
      </c>
      <c r="X41" s="34" t="n">
        <f aca="false">COUNTA(X8:X13,X34)</f>
        <v>0</v>
      </c>
      <c r="Y41" s="34" t="n">
        <f aca="false">COUNTA(Y8:Y13,Y34)</f>
        <v>0</v>
      </c>
    </row>
    <row r="42" customFormat="false" ht="15.75" hidden="false" customHeight="true" outlineLevel="0" collapsed="false">
      <c r="A42" s="33" t="s">
        <v>73</v>
      </c>
      <c r="B42" s="34" t="n">
        <f aca="false">COUNTA(B14:B20,B35)</f>
        <v>0</v>
      </c>
      <c r="C42" s="34" t="n">
        <f aca="false">COUNTA(C14:C20,C35)</f>
        <v>0</v>
      </c>
      <c r="D42" s="34" t="n">
        <f aca="false">COUNTA(D14:D20,D35)</f>
        <v>1</v>
      </c>
      <c r="E42" s="34" t="n">
        <f aca="false">COUNTA(E14:E20,E35)</f>
        <v>2</v>
      </c>
      <c r="F42" s="34" t="n">
        <f aca="false">COUNTA(F14:F20,F35)</f>
        <v>3</v>
      </c>
      <c r="G42" s="34" t="n">
        <f aca="false">COUNTA(G14:G20,G35)</f>
        <v>2</v>
      </c>
      <c r="H42" s="34" t="n">
        <f aca="false">COUNTA(H14:H20,H35)</f>
        <v>4</v>
      </c>
      <c r="I42" s="34" t="n">
        <f aca="false">COUNTA(I14:I20,I35)</f>
        <v>6</v>
      </c>
      <c r="J42" s="34" t="n">
        <f aca="false">COUNTA(J14:J20,J35)</f>
        <v>5</v>
      </c>
      <c r="K42" s="34" t="n">
        <f aca="false">COUNTA(K14:K20,K35)</f>
        <v>6</v>
      </c>
      <c r="L42" s="34" t="n">
        <f aca="false">COUNTA(L14:L20,L35)</f>
        <v>7</v>
      </c>
      <c r="M42" s="34" t="n">
        <f aca="false">COUNTA(M14:M20,M35)</f>
        <v>6</v>
      </c>
      <c r="N42" s="34" t="n">
        <f aca="false">COUNTA(N14:N20,N35)</f>
        <v>7</v>
      </c>
      <c r="O42" s="34" t="n">
        <f aca="false">COUNTA(O14:O20,O35)</f>
        <v>5</v>
      </c>
      <c r="P42" s="34" t="n">
        <f aca="false">COUNTA(P14:P20,P35)</f>
        <v>4</v>
      </c>
      <c r="Q42" s="34" t="n">
        <f aca="false">COUNTA(Q14:Q20,Q35)</f>
        <v>4</v>
      </c>
      <c r="R42" s="34" t="n">
        <f aca="false">COUNTA(R14:R20,R35)</f>
        <v>4</v>
      </c>
      <c r="S42" s="34" t="n">
        <f aca="false">COUNTA(S14:S20,S35)</f>
        <v>3</v>
      </c>
      <c r="T42" s="34" t="n">
        <f aca="false">COUNTA(T14:T20,T35)</f>
        <v>3</v>
      </c>
      <c r="U42" s="34" t="n">
        <f aca="false">COUNTA(U14:U20,U35)</f>
        <v>3</v>
      </c>
      <c r="V42" s="38"/>
      <c r="W42" s="38"/>
      <c r="X42" s="38"/>
      <c r="Y42" s="38"/>
    </row>
    <row r="43" customFormat="false" ht="15.75" hidden="false" customHeight="true" outlineLevel="0" collapsed="false">
      <c r="A43" s="33" t="s">
        <v>75</v>
      </c>
      <c r="B43" s="34" t="n">
        <f aca="false">COUNTA(B21:B25,B36)</f>
        <v>0</v>
      </c>
      <c r="C43" s="34" t="n">
        <f aca="false">COUNTA(C21:C25,C36)</f>
        <v>0</v>
      </c>
      <c r="D43" s="34" t="n">
        <f aca="false">COUNTA(D21:D25,D36)</f>
        <v>2</v>
      </c>
      <c r="E43" s="34" t="n">
        <f aca="false">COUNTA(E21:E25,E36)</f>
        <v>2</v>
      </c>
      <c r="F43" s="34" t="n">
        <f aca="false">COUNTA(F21:F25,F36)</f>
        <v>3</v>
      </c>
      <c r="G43" s="34" t="n">
        <f aca="false">COUNTA(G21:G25,G36)</f>
        <v>3</v>
      </c>
      <c r="H43" s="34" t="n">
        <f aca="false">COUNTA(H21:H25,H36)</f>
        <v>4</v>
      </c>
      <c r="I43" s="34" t="n">
        <f aca="false">COUNTA(I21:I25,I36)</f>
        <v>4</v>
      </c>
      <c r="J43" s="34" t="n">
        <f aca="false">COUNTA(J21:J25,J36)</f>
        <v>5</v>
      </c>
      <c r="K43" s="34" t="n">
        <f aca="false">COUNTA(K21:K25,K36)</f>
        <v>5</v>
      </c>
      <c r="L43" s="34" t="n">
        <f aca="false">COUNTA(L21:L25,L36)</f>
        <v>3</v>
      </c>
      <c r="M43" s="34" t="n">
        <f aca="false">COUNTA(M21:M25,M36)</f>
        <v>4</v>
      </c>
      <c r="N43" s="34" t="n">
        <f aca="false">COUNTA(N21:N25,N36)</f>
        <v>4</v>
      </c>
      <c r="O43" s="34" t="n">
        <f aca="false">COUNTA(O21:O25,O36)</f>
        <v>4</v>
      </c>
      <c r="P43" s="34" t="n">
        <f aca="false">COUNTA(P21:P25,P36)</f>
        <v>4</v>
      </c>
      <c r="Q43" s="34" t="n">
        <f aca="false">COUNTA(Q21:Q25,Q36)</f>
        <v>3</v>
      </c>
      <c r="R43" s="34" t="n">
        <f aca="false">COUNTA(R21:R25,R36)</f>
        <v>2</v>
      </c>
      <c r="S43" s="34" t="n">
        <f aca="false">COUNTA(S21:S25,S36)</f>
        <v>2</v>
      </c>
      <c r="T43" s="34" t="n">
        <f aca="false">COUNTA(T21:T25,T36)</f>
        <v>1</v>
      </c>
      <c r="U43" s="34" t="n">
        <f aca="false">COUNTA(U21:U25,U36)</f>
        <v>1</v>
      </c>
      <c r="V43" s="34" t="n">
        <f aca="false">COUNTA(V21:V25,V36)</f>
        <v>0</v>
      </c>
      <c r="W43" s="34" t="n">
        <f aca="false">COUNTA(W21:W25,W36)</f>
        <v>0</v>
      </c>
      <c r="X43" s="34" t="n">
        <f aca="false">COUNTA(X21:X25,X36)</f>
        <v>0</v>
      </c>
      <c r="Y43" s="34" t="n">
        <f aca="false">COUNTA(Y21:Y25,Y36)</f>
        <v>0</v>
      </c>
    </row>
    <row r="44" customFormat="false" ht="15.75" hidden="false" customHeight="true" outlineLevel="0" collapsed="false">
      <c r="A44" s="33" t="s">
        <v>76</v>
      </c>
      <c r="B44" s="34" t="n">
        <f aca="false">COUNTA(B26:B30,B37)</f>
        <v>0</v>
      </c>
      <c r="C44" s="34" t="n">
        <f aca="false">COUNTA(C26:C30,C37)</f>
        <v>0</v>
      </c>
      <c r="D44" s="34" t="n">
        <f aca="false">COUNTA(D26:D30,D37)</f>
        <v>2</v>
      </c>
      <c r="E44" s="34" t="n">
        <f aca="false">COUNTA(E26:E30,E37)</f>
        <v>2</v>
      </c>
      <c r="F44" s="34" t="n">
        <f aca="false">COUNTA(F26:F30,F37)</f>
        <v>2</v>
      </c>
      <c r="G44" s="34" t="n">
        <f aca="false">COUNTA(G26:G30,G37)</f>
        <v>2</v>
      </c>
      <c r="H44" s="38"/>
      <c r="I44" s="38"/>
      <c r="J44" s="38"/>
      <c r="K44" s="38"/>
      <c r="L44" s="34" t="n">
        <f aca="false">COUNTA(L26:L30,L37)</f>
        <v>5</v>
      </c>
      <c r="M44" s="34" t="n">
        <f aca="false">COUNTA(M26:M30,M37)</f>
        <v>5</v>
      </c>
      <c r="N44" s="34" t="n">
        <f aca="false">COUNTA(N26:N30,N37)</f>
        <v>3</v>
      </c>
      <c r="O44" s="34" t="n">
        <f aca="false">COUNTA(O26:O30,O37)</f>
        <v>3</v>
      </c>
      <c r="P44" s="34" t="n">
        <f aca="false">COUNTA(P26:P30,P37)</f>
        <v>4</v>
      </c>
      <c r="Q44" s="34" t="n">
        <f aca="false">COUNTA(Q26:Q30,Q37)</f>
        <v>4</v>
      </c>
      <c r="R44" s="34" t="n">
        <f aca="false">COUNTA(R26:R30,R37)</f>
        <v>4</v>
      </c>
      <c r="S44" s="34" t="n">
        <f aca="false">COUNTA(S26:S30,S37)</f>
        <v>4</v>
      </c>
      <c r="T44" s="34" t="n">
        <f aca="false">COUNTA(T26:T30,T37)</f>
        <v>1</v>
      </c>
      <c r="U44" s="34" t="n">
        <f aca="false">COUNTA(U26:U30,U37)</f>
        <v>1</v>
      </c>
      <c r="V44" s="34" t="n">
        <f aca="false">COUNTA(V26:V30,V37)</f>
        <v>1</v>
      </c>
      <c r="W44" s="34" t="n">
        <f aca="false">COUNTA(W26:W30,W37)</f>
        <v>1</v>
      </c>
      <c r="X44" s="34" t="n">
        <f aca="false">COUNTA(X26:X30,X37)</f>
        <v>0</v>
      </c>
      <c r="Y44" s="34" t="n">
        <f aca="false">COUNTA(Y26:Y30,Y37)</f>
        <v>0</v>
      </c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1" collapsed="false">
      <c r="B47" s="28" t="s">
        <v>170</v>
      </c>
      <c r="C47" s="28" t="s">
        <v>167</v>
      </c>
    </row>
    <row r="48" customFormat="false" ht="15.75" hidden="false" customHeight="true" outlineLevel="1" collapsed="false">
      <c r="A48" s="49" t="s">
        <v>155</v>
      </c>
      <c r="B48" s="28" t="n">
        <f aca="false">COUNTIF($B$2:$Y$30,$A48)/2</f>
        <v>8</v>
      </c>
      <c r="C48" s="28" t="n">
        <f aca="false">COUNTIF($B$33:$Y$37,$A48)/2</f>
        <v>0</v>
      </c>
      <c r="D48" s="28" t="n">
        <f aca="false">SUM(B48:C48)</f>
        <v>8</v>
      </c>
    </row>
    <row r="49" customFormat="false" ht="15.75" hidden="false" customHeight="true" outlineLevel="1" collapsed="false">
      <c r="A49" s="50" t="s">
        <v>159</v>
      </c>
      <c r="B49" s="28" t="n">
        <f aca="false">COUNTIF($B$2:$Y$30,$A49)/2</f>
        <v>8</v>
      </c>
      <c r="C49" s="28" t="n">
        <f aca="false">COUNTIF($B$33:$Y$37,$A49)/2</f>
        <v>0</v>
      </c>
      <c r="D49" s="28" t="n">
        <f aca="false">SUM(B49:C49)</f>
        <v>8</v>
      </c>
    </row>
    <row r="50" customFormat="false" ht="15.75" hidden="false" customHeight="true" outlineLevel="1" collapsed="false">
      <c r="A50" s="51" t="s">
        <v>158</v>
      </c>
      <c r="B50" s="28" t="n">
        <f aca="false">COUNTIF($B$2:$Y$30,$A50)/2</f>
        <v>8</v>
      </c>
      <c r="C50" s="28" t="n">
        <f aca="false">COUNTIF($B$33:$Y$37,$A50)/2</f>
        <v>0</v>
      </c>
      <c r="D50" s="28" t="n">
        <f aca="false">SUM(B50:C50)</f>
        <v>8</v>
      </c>
    </row>
    <row r="51" customFormat="false" ht="15.75" hidden="false" customHeight="true" outlineLevel="1" collapsed="false">
      <c r="A51" s="52" t="s">
        <v>150</v>
      </c>
      <c r="B51" s="28" t="n">
        <f aca="false">COUNTIF($B$2:$Y$30,$A51)/2</f>
        <v>8</v>
      </c>
      <c r="C51" s="28" t="n">
        <f aca="false">COUNTIF($B$33:$Y$37,$A51)/2</f>
        <v>0</v>
      </c>
      <c r="D51" s="28" t="n">
        <f aca="false">SUM(B51:C51)</f>
        <v>8</v>
      </c>
    </row>
    <row r="52" customFormat="false" ht="15.75" hidden="false" customHeight="true" outlineLevel="1" collapsed="false">
      <c r="A52" s="53" t="s">
        <v>152</v>
      </c>
      <c r="B52" s="28" t="n">
        <f aca="false">COUNTIF($B$2:$Y$30,$A52)/2</f>
        <v>8</v>
      </c>
      <c r="C52" s="28" t="n">
        <f aca="false">COUNTIF($B$33:$Y$37,$A52)/2</f>
        <v>0</v>
      </c>
      <c r="D52" s="28" t="n">
        <f aca="false">SUM(B52:C52)</f>
        <v>8</v>
      </c>
    </row>
    <row r="53" customFormat="false" ht="15.75" hidden="false" customHeight="true" outlineLevel="1" collapsed="false">
      <c r="A53" s="54" t="s">
        <v>166</v>
      </c>
      <c r="B53" s="28" t="n">
        <f aca="false">COUNTIF($B$2:$Y$30,$A53)/2</f>
        <v>8</v>
      </c>
      <c r="C53" s="28" t="n">
        <f aca="false">COUNTIF($B$33:$Y$37,$A53)/2</f>
        <v>0</v>
      </c>
      <c r="D53" s="28" t="n">
        <f aca="false">SUM(B53:C53)</f>
        <v>8</v>
      </c>
    </row>
    <row r="54" customFormat="false" ht="15.75" hidden="false" customHeight="true" outlineLevel="1" collapsed="false">
      <c r="A54" s="55" t="s">
        <v>154</v>
      </c>
      <c r="B54" s="28" t="n">
        <f aca="false">COUNTIF($B$2:$Y$30,$A54)/2</f>
        <v>8</v>
      </c>
      <c r="C54" s="28" t="n">
        <f aca="false">COUNTIF($B$33:$Y$37,$A54)/2</f>
        <v>0</v>
      </c>
      <c r="D54" s="28" t="n">
        <f aca="false">SUM(B54:C54)</f>
        <v>8</v>
      </c>
    </row>
    <row r="55" customFormat="false" ht="15.75" hidden="false" customHeight="true" outlineLevel="1" collapsed="false">
      <c r="A55" s="56" t="s">
        <v>148</v>
      </c>
      <c r="B55" s="28" t="n">
        <f aca="false">COUNTIF($B$2:$Y$30,$A55)/2</f>
        <v>8</v>
      </c>
      <c r="C55" s="28" t="n">
        <f aca="false">COUNTIF($B$33:$Y$37,$A55)/2</f>
        <v>0</v>
      </c>
      <c r="D55" s="28" t="n">
        <f aca="false">SUM(B55:C55)</f>
        <v>8</v>
      </c>
    </row>
    <row r="56" customFormat="false" ht="15.75" hidden="false" customHeight="true" outlineLevel="1" collapsed="false">
      <c r="A56" s="57" t="s">
        <v>163</v>
      </c>
      <c r="B56" s="28" t="n">
        <f aca="false">COUNTIF($B$2:$Y$30,$A56)/2</f>
        <v>8</v>
      </c>
      <c r="C56" s="28" t="n">
        <f aca="false">COUNTIF($B$33:$Y$37,$A56)/2</f>
        <v>0</v>
      </c>
      <c r="D56" s="28" t="n">
        <f aca="false">SUM(B56:C56)</f>
        <v>8</v>
      </c>
    </row>
    <row r="57" customFormat="false" ht="15.75" hidden="false" customHeight="true" outlineLevel="1" collapsed="false">
      <c r="A57" s="58" t="s">
        <v>161</v>
      </c>
      <c r="B57" s="28" t="n">
        <f aca="false">COUNTIF($B$2:$Y$30,$A57)/2</f>
        <v>6</v>
      </c>
      <c r="C57" s="28" t="n">
        <f aca="false">COUNTIF($B$33:$Y$37,$A57)/2</f>
        <v>2</v>
      </c>
      <c r="D57" s="28" t="n">
        <f aca="false">SUM(B57:C57)</f>
        <v>8</v>
      </c>
    </row>
    <row r="58" customFormat="false" ht="15.75" hidden="false" customHeight="true" outlineLevel="1" collapsed="false">
      <c r="A58" s="49" t="s">
        <v>156</v>
      </c>
      <c r="B58" s="28" t="n">
        <f aca="false">COUNTIF($B$2:$Y$30,$A58)/2</f>
        <v>8</v>
      </c>
      <c r="C58" s="28" t="n">
        <f aca="false">COUNTIF($B$33:$Y$37,$A58)/2</f>
        <v>0</v>
      </c>
      <c r="D58" s="28" t="n">
        <f aca="false">SUM(B58:C58)</f>
        <v>8</v>
      </c>
      <c r="E58" s="28" t="s">
        <v>171</v>
      </c>
    </row>
    <row r="59" customFormat="false" ht="15.75" hidden="false" customHeight="true" outlineLevel="1" collapsed="false">
      <c r="A59" s="50" t="s">
        <v>168</v>
      </c>
      <c r="B59" s="28" t="n">
        <f aca="false">COUNTIF($B$2:$Y$30,$A59)/2</f>
        <v>0</v>
      </c>
      <c r="C59" s="28" t="n">
        <f aca="false">COUNTIF($B$33:$Y$37,$A59)/2</f>
        <v>8</v>
      </c>
      <c r="D59" s="28" t="n">
        <f aca="false">SUM(B59:C59)</f>
        <v>8</v>
      </c>
      <c r="E59" s="28" t="s">
        <v>172</v>
      </c>
    </row>
    <row r="60" customFormat="false" ht="15.75" hidden="false" customHeight="true" outlineLevel="1" collapsed="false">
      <c r="A60" s="51" t="s">
        <v>160</v>
      </c>
      <c r="B60" s="28" t="n">
        <f aca="false">COUNTIF($B$2:$Y$30,$A60)/2</f>
        <v>8</v>
      </c>
      <c r="C60" s="28" t="n">
        <f aca="false">COUNTIF($B$33:$Y$37,$A60)/2</f>
        <v>0</v>
      </c>
      <c r="D60" s="28" t="n">
        <f aca="false">SUM(B60:C60)</f>
        <v>8</v>
      </c>
    </row>
    <row r="61" customFormat="false" ht="15.75" hidden="false" customHeight="true" outlineLevel="1" collapsed="false">
      <c r="A61" s="52" t="s">
        <v>164</v>
      </c>
      <c r="B61" s="28" t="n">
        <f aca="false">COUNTIF($B$2:$Y$30,$A61)/2</f>
        <v>8</v>
      </c>
      <c r="C61" s="28" t="n">
        <f aca="false">COUNTIF($B$33:$Y$37,$A61)/2</f>
        <v>0</v>
      </c>
      <c r="D61" s="28" t="n">
        <f aca="false">SUM(B61:C61)</f>
        <v>8</v>
      </c>
    </row>
    <row r="62" customFormat="false" ht="15.75" hidden="false" customHeight="true" outlineLevel="1" collapsed="false">
      <c r="A62" s="53" t="s">
        <v>153</v>
      </c>
      <c r="B62" s="28" t="n">
        <f aca="false">COUNTIF($B$2:$Y$30,$A62)/2</f>
        <v>8</v>
      </c>
      <c r="C62" s="28" t="n">
        <f aca="false">COUNTIF($B$33:$Y$37,$A62)/2</f>
        <v>0</v>
      </c>
      <c r="D62" s="28" t="n">
        <f aca="false">SUM(B62:C62)</f>
        <v>8</v>
      </c>
    </row>
    <row r="63" customFormat="false" ht="15.75" hidden="false" customHeight="true" outlineLevel="1" collapsed="false">
      <c r="A63" s="54" t="s">
        <v>162</v>
      </c>
      <c r="B63" s="28" t="n">
        <f aca="false">COUNTIF($B$2:$Y$30,$A63)/2</f>
        <v>8</v>
      </c>
      <c r="C63" s="28" t="n">
        <f aca="false">COUNTIF($B$33:$Y$37,$A63)/2</f>
        <v>0</v>
      </c>
      <c r="D63" s="28" t="n">
        <f aca="false">SUM(B63:C63)</f>
        <v>8</v>
      </c>
    </row>
    <row r="64" customFormat="false" ht="15.75" hidden="false" customHeight="true" outlineLevel="1" collapsed="false">
      <c r="A64" s="55" t="s">
        <v>165</v>
      </c>
      <c r="B64" s="28" t="n">
        <f aca="false">COUNTIF($B$2:$Y$30,$A64)/2</f>
        <v>7</v>
      </c>
      <c r="C64" s="28" t="n">
        <f aca="false">COUNTIF($B$33:$Y$37,$A64)/2</f>
        <v>1</v>
      </c>
      <c r="D64" s="28" t="n">
        <f aca="false">SUM(B64:C64)</f>
        <v>8</v>
      </c>
    </row>
    <row r="65" customFormat="false" ht="15.75" hidden="false" customHeight="true" outlineLevel="1" collapsed="false">
      <c r="A65" s="56" t="s">
        <v>157</v>
      </c>
      <c r="B65" s="28" t="n">
        <f aca="false">COUNTIF($B$2:$Y$30,$A65)/2</f>
        <v>6</v>
      </c>
      <c r="C65" s="28" t="n">
        <f aca="false">COUNTIF($B$33:$Y$37,$A65)/2</f>
        <v>2</v>
      </c>
      <c r="D65" s="28" t="n">
        <f aca="false">SUM(B65:C65)</f>
        <v>8</v>
      </c>
    </row>
    <row r="66" customFormat="false" ht="15.75" hidden="false" customHeight="true" outlineLevel="1" collapsed="false">
      <c r="A66" s="57" t="s">
        <v>149</v>
      </c>
      <c r="B66" s="28" t="n">
        <f aca="false">COUNTIF($B$2:$Y$30,$A66)/2</f>
        <v>8</v>
      </c>
      <c r="C66" s="28" t="n">
        <f aca="false">COUNTIF($B$33:$Y$37,$A66)/2</f>
        <v>0</v>
      </c>
      <c r="D66" s="28" t="n">
        <f aca="false">SUM(B66:C66)</f>
        <v>8</v>
      </c>
    </row>
    <row r="67" customFormat="false" ht="15.75" hidden="false" customHeight="true" outlineLevel="1" collapsed="false">
      <c r="A67" s="58" t="s">
        <v>151</v>
      </c>
      <c r="B67" s="28" t="n">
        <f aca="false">COUNTIF($B$2:$Y$30,$A67)/2</f>
        <v>8</v>
      </c>
      <c r="C67" s="28" t="n">
        <f aca="false">COUNTIF($B$33:$Y$37,$A67)/2</f>
        <v>0</v>
      </c>
      <c r="D67" s="28" t="n">
        <f aca="false">SUM(B67:C67)</f>
        <v>8</v>
      </c>
    </row>
    <row r="68" customFormat="false" ht="15.75" hidden="false" customHeight="true" outlineLevel="0" collapsed="false">
      <c r="B68" s="28" t="s">
        <v>146</v>
      </c>
    </row>
    <row r="69" customFormat="false" ht="15.75" hidden="false" customHeight="true" outlineLevel="0" collapsed="false">
      <c r="A69" s="33" t="s">
        <v>24</v>
      </c>
      <c r="B69" s="44" t="n">
        <v>0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</row>
    <row r="70" customFormat="false" ht="15.75" hidden="false" customHeight="true" outlineLevel="0" collapsed="false">
      <c r="A70" s="33" t="s">
        <v>66</v>
      </c>
      <c r="B70" s="44" t="n">
        <v>0</v>
      </c>
      <c r="C70" s="44" t="n">
        <v>0</v>
      </c>
      <c r="D70" s="44" t="n">
        <v>0</v>
      </c>
      <c r="E70" s="44" t="n">
        <v>0</v>
      </c>
      <c r="F70" s="44" t="n">
        <v>0</v>
      </c>
      <c r="G70" s="44" t="s">
        <v>157</v>
      </c>
      <c r="H70" s="44" t="s">
        <v>157</v>
      </c>
      <c r="I70" s="44" t="s">
        <v>157</v>
      </c>
      <c r="J70" s="44" t="s">
        <v>157</v>
      </c>
      <c r="K70" s="44" t="s">
        <v>157</v>
      </c>
      <c r="L70" s="44" t="s">
        <v>157</v>
      </c>
      <c r="M70" s="44" t="s">
        <v>157</v>
      </c>
      <c r="N70" s="44" t="s">
        <v>157</v>
      </c>
      <c r="O70" s="44" t="s">
        <v>157</v>
      </c>
      <c r="P70" s="44" t="s">
        <v>157</v>
      </c>
      <c r="Q70" s="44" t="s">
        <v>157</v>
      </c>
      <c r="R70" s="44" t="s">
        <v>157</v>
      </c>
      <c r="S70" s="44" t="s">
        <v>157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</row>
    <row r="71" customFormat="false" ht="15.75" hidden="false" customHeight="true" outlineLevel="0" collapsed="false">
      <c r="A71" s="33" t="s">
        <v>73</v>
      </c>
      <c r="B71" s="44" t="n">
        <v>0</v>
      </c>
      <c r="C71" s="44" t="n">
        <v>0</v>
      </c>
      <c r="D71" s="44" t="n">
        <v>0</v>
      </c>
      <c r="E71" s="44" t="n">
        <v>0</v>
      </c>
      <c r="F71" s="44" t="n">
        <v>0</v>
      </c>
      <c r="G71" s="44" t="n">
        <v>0</v>
      </c>
      <c r="H71" s="44" t="n">
        <v>0</v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</row>
    <row r="72" customFormat="false" ht="15.75" hidden="false" customHeight="true" outlineLevel="0" collapsed="false">
      <c r="A72" s="33" t="s">
        <v>75</v>
      </c>
      <c r="B72" s="44" t="n">
        <v>0</v>
      </c>
      <c r="C72" s="44" t="n">
        <v>0</v>
      </c>
      <c r="D72" s="44" t="n">
        <v>0</v>
      </c>
      <c r="E72" s="44" t="n">
        <v>0</v>
      </c>
      <c r="F72" s="44" t="n">
        <v>0</v>
      </c>
      <c r="G72" s="44" t="s">
        <v>157</v>
      </c>
      <c r="H72" s="44" t="s">
        <v>157</v>
      </c>
      <c r="I72" s="44" t="s">
        <v>157</v>
      </c>
      <c r="J72" s="44" t="s">
        <v>157</v>
      </c>
      <c r="K72" s="44" t="s">
        <v>157</v>
      </c>
      <c r="L72" s="44" t="s">
        <v>157</v>
      </c>
      <c r="M72" s="44" t="s">
        <v>157</v>
      </c>
      <c r="N72" s="44" t="s">
        <v>157</v>
      </c>
      <c r="O72" s="44" t="s">
        <v>157</v>
      </c>
      <c r="P72" s="44" t="s">
        <v>157</v>
      </c>
      <c r="Q72" s="44" t="s">
        <v>157</v>
      </c>
      <c r="R72" s="44" t="s">
        <v>157</v>
      </c>
      <c r="S72" s="44" t="s">
        <v>157</v>
      </c>
      <c r="T72" s="44" t="n">
        <v>0</v>
      </c>
      <c r="U72" s="44" t="n">
        <v>0</v>
      </c>
      <c r="V72" s="44" t="n">
        <v>0</v>
      </c>
      <c r="W72" s="44" t="n">
        <v>0</v>
      </c>
      <c r="X72" s="44" t="n">
        <v>0</v>
      </c>
      <c r="Y72" s="44" t="n">
        <v>0</v>
      </c>
    </row>
    <row r="73" customFormat="false" ht="15.75" hidden="false" customHeight="true" outlineLevel="0" collapsed="false">
      <c r="A73" s="33" t="s">
        <v>76</v>
      </c>
      <c r="B73" s="44" t="n">
        <v>0</v>
      </c>
      <c r="C73" s="44" t="n">
        <v>0</v>
      </c>
      <c r="D73" s="44" t="n">
        <v>0</v>
      </c>
      <c r="E73" s="44" t="n">
        <v>0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</v>
      </c>
      <c r="V73" s="44" t="n">
        <v>0</v>
      </c>
      <c r="W73" s="44" t="n">
        <v>0</v>
      </c>
      <c r="X73" s="44" t="n">
        <v>0</v>
      </c>
      <c r="Y73" s="44" t="n">
        <v>0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2:A7"/>
    <mergeCell ref="A8:A13"/>
    <mergeCell ref="A14:A20"/>
    <mergeCell ref="A21:A25"/>
    <mergeCell ref="A26:A30"/>
  </mergeCells>
  <conditionalFormatting sqref="A1">
    <cfRule type="cellIs" priority="2" operator="equal" aboveAverage="0" equalAverage="0" bottom="0" percent="0" rank="0" text="" dxfId="20">
      <formula>$A$8</formula>
    </cfRule>
  </conditionalFormatting>
  <conditionalFormatting sqref="A32 A39">
    <cfRule type="cellIs" priority="3" operator="equal" aboveAverage="0" equalAverage="0" bottom="0" percent="0" rank="0" text="" dxfId="21">
      <formula>$A$34</formula>
    </cfRule>
  </conditionalFormatting>
  <conditionalFormatting sqref="A48:A67 B2:Y2 B3:K3 B4:C4 B5:O5 B6:K7 B8:U8 B9:O9 B10:G10 B11:M12 B13:C13 B14:Y14 B15:K15 B16:C16 B17:E17 B18:G18 B19:L19 B20:K20 B21:Q21 B22:M22 B23:G23 B24:E24 B25:C30 H17:J17 H26:K30 L4:M4 L10:O10 L13:Y13 L16:S16 L23:M23 N25:Y25 N26:O26 O3:S3 O15:S15 R4:Y4 R9:Y11 R21:Y23 T5:Y7 T12:Y12 T17:Y20 T24:Y24 T26:Y26 T28:Y30 V15:Y16 X8:Y8 X27:Y27 B69:Y73 D33:E33 D26:G26 D27:G27 D28:G28 D29:G29 D30:G30 D16:I16 D4:K4 D13:K13 D25:K25 F17:G17 F24:M24 H10:K10 H23:K23 H18:O18 I33:P35 J16:K16 K17:N17 L6 S6 L25:M25 L26:M26 L3:N3 L15:N15 L36:O36 L7:S7 L20:S20 L28:S28 L29:S29 L30:S30 L27:W27 M6:R6 M19:R19 N11:Q11 N22:Q23 N12:S12 N24:S24 O17:S17 P5:S5 P18:S18 P26:S26 R34:S36 S19 T15:U15 T16:U16 T3:Y3">
    <cfRule type="colorScale" priority="4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B33:C33 B34:H35 B36:K36 B37:Y37 B40:Y44 F33:H33 P36:Q36 Q33:Y33 Q34:Q35 T34:Y36">
    <cfRule type="colorScale" priority="5">
      <colorScale>
        <cfvo type="formula" val="0"/>
        <cfvo type="formula" val="1"/>
        <cfvo type="max" val="0"/>
        <color rgb="FFF8696B"/>
        <color rgb="FFFFEB84"/>
        <color rgb="FF63BE7B"/>
      </colorScale>
    </cfRule>
  </conditionalFormatting>
  <conditionalFormatting sqref="D48:D67">
    <cfRule type="cellIs" priority="6" operator="greaterThan" aboveAverage="0" equalAverage="0" bottom="0" percent="0" rank="0" text="" dxfId="22">
      <formula>8</formula>
    </cfRule>
    <cfRule type="cellIs" priority="7" operator="lessThan" aboveAverage="0" equalAverage="0" bottom="0" percent="0" rank="0" text="" dxfId="23">
      <formula>8</formula>
    </cfRule>
    <cfRule type="cellIs" priority="8" operator="equal" aboveAverage="0" equalAverage="0" bottom="0" percent="0" rank="0" text="" dxfId="24">
      <formula>8</formula>
    </cfRule>
  </conditionalFormatting>
  <conditionalFormatting sqref="Z2:Z30">
    <cfRule type="cellIs" priority="9" operator="equal" aboveAverage="0" equalAverage="0" bottom="0" percent="0" rank="0" text="" dxfId="2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13.66"/>
    <col collapsed="false" customWidth="true" hidden="false" outlineLevel="0" max="25" min="2" style="0" width="10.5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>
      <c r="A3" s="31" t="s">
        <v>147</v>
      </c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</row>
    <row r="4" customFormat="false" ht="15.75" hidden="false" customHeight="true" outlineLevel="0" collapsed="false">
      <c r="A4" s="33" t="s">
        <v>24</v>
      </c>
      <c r="B4" s="34" t="n">
        <f aca="false">SUM(Allen!B22,Mike!B22,Jonah!B22,Jarren!B22,Chance!B22,'Jonathan Mach'!B22,Zach!B22,Hayden!B22,Kyle!B22,'Jonathan Mather'!B22,Cameron!B22,Emmet!B22,Jackson!B22,Khai!B22,'Mario Q'!B22,Aaron!B22,Ian!B22,Charlie!B22,'Mario S'!B22,David!B22)</f>
        <v>0</v>
      </c>
      <c r="C4" s="34" t="n">
        <f aca="false">SUM(Allen!C22,Mike!C22,Jonah!C22,Jarren!C22,Chance!C22,'Jonathan Mach'!C22,Zach!C22,Hayden!C22,Kyle!C22,'Jonathan Mather'!C22,Cameron!C22,Emmet!C22,Jackson!C22,Khai!C22,'Mario Q'!C22,Aaron!C22,Ian!C22,Charlie!C22,'Mario S'!C22,David!C22)</f>
        <v>0</v>
      </c>
      <c r="D4" s="34" t="n">
        <f aca="false">SUM(Allen!D22,Mike!D22,Jonah!D22,Jarren!D22,Chance!D22,'Jonathan Mach'!D22,Zach!D22,Hayden!D22,Kyle!D22,'Jonathan Mather'!D22,Cameron!D22,Emmet!D22,Jackson!D22,Khai!D22,'Mario Q'!D22,Aaron!D22,Ian!D22,Charlie!D22,'Mario S'!D22,David!D22)</f>
        <v>1</v>
      </c>
      <c r="E4" s="34" t="n">
        <f aca="false">SUM(Allen!E22,Mike!E22,Jonah!E22,Jarren!E22,Chance!E22,'Jonathan Mach'!E22,Zach!E22,Hayden!E22,Kyle!E22,'Jonathan Mather'!E22,Cameron!E22,Emmet!E22,Jackson!E22,Khai!E22,'Mario Q'!E22,Aaron!E22,Ian!E22,Charlie!E22,'Mario S'!E22,David!E22)</f>
        <v>2</v>
      </c>
      <c r="F4" s="34" t="n">
        <f aca="false">SUM(Allen!F22,Mike!F22,Jonah!F22,Jarren!F22,Chance!F22,'Jonathan Mach'!F22,Zach!F22,Hayden!F22,Kyle!F22,'Jonathan Mather'!F22,Cameron!F22,Emmet!F22,Jackson!F22,Khai!F22,'Mario Q'!F22,Aaron!F22,Ian!F22,Charlie!F22,'Mario S'!F22,David!F22)</f>
        <v>2</v>
      </c>
      <c r="G4" s="34" t="n">
        <f aca="false">SUM(Allen!G22,Mike!G22,Jonah!G22,Jarren!G22,Chance!G22,'Jonathan Mach'!G22,Zach!G22,Hayden!G22,Kyle!G22,'Jonathan Mather'!G22,Cameron!G22,Emmet!G22,Jackson!G22,Khai!G22,'Mario Q'!G22,Aaron!G22,Ian!G22,Charlie!G22,'Mario S'!G22,David!G22)</f>
        <v>1</v>
      </c>
      <c r="H4" s="34" t="n">
        <f aca="false">SUM(Allen!H22,Mike!H22,Jonah!H22,Jarren!H22,Chance!H22,'Jonathan Mach'!H22,Zach!H22,Hayden!H22,Kyle!H22,'Jonathan Mather'!H22,Cameron!H22,Emmet!H22,Jackson!H22,Khai!H22,'Mario Q'!H22,Aaron!H22,Ian!H22,Charlie!H22,'Mario S'!H22,David!H22)</f>
        <v>5</v>
      </c>
      <c r="I4" s="34" t="n">
        <f aca="false">SUM(Allen!I22,Mike!I22,Jonah!I22,Jarren!I22,Chance!I22,'Jonathan Mach'!I22,Zach!I22,Hayden!I22,Kyle!I22,'Jonathan Mather'!I22,Cameron!I22,Emmet!I22,Jackson!I22,Khai!I22,'Mario Q'!I22,Aaron!I22,Ian!I22,Charlie!I22,'Mario S'!I22,David!I22)</f>
        <v>5</v>
      </c>
      <c r="J4" s="34" t="n">
        <f aca="false">SUM(Allen!J22,Mike!J22,Jonah!J22,Jarren!J22,Chance!J22,'Jonathan Mach'!J22,Zach!J22,Hayden!J22,Kyle!J22,'Jonathan Mather'!J22,Cameron!J22,Emmet!J22,Jackson!J22,Khai!J22,'Mario Q'!J22,Aaron!J22,Ian!J22,Charlie!J22,'Mario S'!J22,David!J22)</f>
        <v>5</v>
      </c>
      <c r="K4" s="34" t="n">
        <f aca="false">SUM(Allen!K22,Mike!K22,Jonah!K22,Jarren!K22,Chance!K22,'Jonathan Mach'!K22,Zach!K22,Hayden!K22,Kyle!K22,'Jonathan Mather'!K22,Cameron!K22,Emmet!K22,Jackson!K22,Khai!K22,'Mario Q'!K22,Aaron!K22,Ian!K22,Charlie!K22,'Mario S'!K22,David!K22)</f>
        <v>5</v>
      </c>
      <c r="L4" s="34" t="n">
        <f aca="false">SUM(Allen!L22,Mike!L22,Jonah!L22,Jarren!L22,Chance!L22,'Jonathan Mach'!L22,Zach!L22,Hayden!L22,Kyle!L22,'Jonathan Mather'!L22,Cameron!L22,Emmet!L22,Jackson!L22,Khai!L22,'Mario Q'!L22,Aaron!L22,Ian!L22,Charlie!L22,'Mario S'!L22,David!L22)</f>
        <v>4</v>
      </c>
      <c r="M4" s="34" t="n">
        <f aca="false">SUM(Allen!M22,Mike!M22,Jonah!M22,Jarren!M22,Chance!M22,'Jonathan Mach'!M22,Zach!M22,Hayden!M22,Kyle!M22,'Jonathan Mather'!M22,Cameron!M22,Emmet!M22,Jackson!M22,Khai!M22,'Mario Q'!M22,Aaron!M22,Ian!M22,Charlie!M22,'Mario S'!M22,David!M22)</f>
        <v>5</v>
      </c>
      <c r="N4" s="34" t="n">
        <f aca="false">SUM(Allen!N22,Mike!N22,Jonah!N22,Jarren!N22,Chance!N22,'Jonathan Mach'!N22,Zach!N22,Hayden!N22,Kyle!N22,'Jonathan Mather'!N22,Cameron!N22,Emmet!N22,Jackson!N22,Khai!N22,'Mario Q'!N22,Aaron!N22,Ian!N22,Charlie!N22,'Mario S'!N22,David!N22)</f>
        <v>6</v>
      </c>
      <c r="O4" s="34" t="n">
        <f aca="false">SUM(Allen!O22,Mike!O22,Jonah!O22,Jarren!O22,Chance!O22,'Jonathan Mach'!O22,Zach!O22,Hayden!O22,Kyle!O22,'Jonathan Mather'!O22,Cameron!O22,Emmet!O22,Jackson!O22,Khai!O22,'Mario Q'!O22,Aaron!O22,Ian!O22,Charlie!O22,'Mario S'!O22,David!O22)</f>
        <v>5</v>
      </c>
      <c r="P4" s="34" t="n">
        <f aca="false">SUM(Allen!P22,Mike!P22,Jonah!P22,Jarren!P22,Chance!P22,'Jonathan Mach'!P22,Zach!P22,Hayden!P22,Kyle!P22,'Jonathan Mather'!P22,Cameron!P22,Emmet!P22,Jackson!P22,Khai!P22,'Mario Q'!P22,Aaron!P22,Ian!P22,Charlie!P22,'Mario S'!P22,David!P22)</f>
        <v>4</v>
      </c>
      <c r="Q4" s="34" t="n">
        <f aca="false">SUM(Allen!Q22,Mike!Q22,Jonah!Q22,Jarren!Q22,Chance!Q22,'Jonathan Mach'!Q22,Zach!Q22,Hayden!Q22,Kyle!Q22,'Jonathan Mather'!Q22,Cameron!Q22,Emmet!Q22,Jackson!Q22,Khai!Q22,'Mario Q'!Q22,Aaron!Q22,Ian!Q22,Charlie!Q22,'Mario S'!Q22,David!Q22)</f>
        <v>4</v>
      </c>
      <c r="R4" s="34" t="n">
        <f aca="false">SUM(Allen!R22,Mike!R22,Jonah!R22,Jarren!R22,Chance!R22,'Jonathan Mach'!R22,Zach!R22,Hayden!R22,Kyle!R22,'Jonathan Mather'!R22,Cameron!R22,Emmet!R22,Jackson!R22,Khai!R22,'Mario Q'!R22,Aaron!R22,Ian!R22,Charlie!R22,'Mario S'!R22,David!R22)</f>
        <v>4</v>
      </c>
      <c r="S4" s="34" t="n">
        <f aca="false">SUM(Allen!S22,Mike!S22,Jonah!S22,Jarren!S22,Chance!S22,'Jonathan Mach'!S22,Zach!S22,Hayden!S22,Kyle!S22,'Jonathan Mather'!S22,Cameron!S22,Emmet!S22,Jackson!S22,Khai!S22,'Mario Q'!S22,Aaron!S22,Ian!S22,Charlie!S22,'Mario S'!S22,David!S22)</f>
        <v>3</v>
      </c>
      <c r="T4" s="34" t="n">
        <f aca="false">SUM(Allen!T22,Mike!T22,Jonah!T22,Jarren!T22,Chance!T22,'Jonathan Mach'!T22,Zach!T22,Hayden!T22,Kyle!T22,'Jonathan Mather'!T22,Cameron!T22,Emmet!T22,Jackson!T22,Khai!T22,'Mario Q'!T22,Aaron!T22,Ian!T22,Charlie!T22,'Mario S'!T22,David!T22)</f>
        <v>2</v>
      </c>
      <c r="U4" s="34" t="n">
        <f aca="false">SUM(Allen!U22,Mike!U22,Jonah!U22,Jarren!U22,Chance!U22,'Jonathan Mach'!U22,Zach!U22,Hayden!U22,Kyle!U22,'Jonathan Mather'!U22,Cameron!U22,Emmet!U22,Jackson!U22,Khai!U22,'Mario Q'!U22,Aaron!U22,Ian!U22,Charlie!U22,'Mario S'!U22,David!U22)</f>
        <v>2</v>
      </c>
      <c r="V4" s="34" t="n">
        <f aca="false">SUM(Allen!V22,Mike!V22,Jonah!V22,Jarren!V22,Chance!V22,'Jonathan Mach'!V22,Zach!V22,Hayden!V22,Kyle!V22,'Jonathan Mather'!V22,Cameron!V22,Emmet!V22,Jackson!V22,Khai!V22,'Mario Q'!V22,Aaron!V22,Ian!V22,Charlie!V22,'Mario S'!V22,David!V22)</f>
        <v>1</v>
      </c>
      <c r="W4" s="34" t="n">
        <f aca="false">SUM(Allen!W22,Mike!W22,Jonah!W22,Jarren!W22,Chance!W22,'Jonathan Mach'!W22,Zach!W22,Hayden!W22,Kyle!W22,'Jonathan Mather'!W22,Cameron!W22,Emmet!W22,Jackson!W22,Khai!W22,'Mario Q'!W22,Aaron!W22,Ian!W22,Charlie!W22,'Mario S'!W22,David!W22)</f>
        <v>1</v>
      </c>
      <c r="X4" s="34" t="n">
        <f aca="false">SUM(Allen!X22,Mike!X22,Jonah!X22,Jarren!X22,Chance!X22,'Jonathan Mach'!X22,Zach!X22,Hayden!X22,Kyle!X22,'Jonathan Mather'!X22,Cameron!X22,Emmet!X22,Jackson!X22,Khai!X22,'Mario Q'!X22,Aaron!X22,Ian!X22,Charlie!X22,'Mario S'!X22,David!X22)</f>
        <v>1</v>
      </c>
      <c r="Y4" s="34" t="n">
        <f aca="false">SUM(Allen!Y22,Mike!Y22,Jonah!Y22,Jarren!Y22,Chance!Y22,'Jonathan Mach'!Y22,Zach!Y22,Hayden!Y22,Kyle!Y22,'Jonathan Mather'!Y22,Cameron!Y22,Emmet!Y22,Jackson!Y22,Khai!Y22,'Mario Q'!Y22,Aaron!Y22,Ian!Y22,Charlie!Y22,'Mario S'!Y22,David!Y22)</f>
        <v>1</v>
      </c>
    </row>
    <row r="5" customFormat="false" ht="15.75" hidden="false" customHeight="true" outlineLevel="0" collapsed="false">
      <c r="A5" s="33" t="s">
        <v>66</v>
      </c>
      <c r="B5" s="34" t="n">
        <f aca="false">SUM(Allen!B23,Mike!B23,Jonah!B23,Jarren!B23,Chance!B23,'Jonathan Mach'!B23,Zach!B23,Hayden!B23,Kyle!B23,'Jonathan Mather'!B23,Cameron!B23,Emmet!B23,Jackson!B23,Khai!B23,'Mario Q'!B23,Aaron!B23,Ian!B23,Charlie!B23,'Mario S'!B23,David!B23)</f>
        <v>0</v>
      </c>
      <c r="C5" s="34" t="n">
        <f aca="false">SUM(Allen!C23,Mike!C23,Jonah!C23,Jarren!C23,Chance!C23,'Jonathan Mach'!C23,Zach!C23,Hayden!C23,Kyle!C23,'Jonathan Mather'!C23,Cameron!C23,Emmet!C23,Jackson!C23,Khai!C23,'Mario Q'!C23,Aaron!C23,Ian!C23,Charlie!C23,'Mario S'!C23,David!C23)</f>
        <v>0</v>
      </c>
      <c r="D5" s="34" t="n">
        <f aca="false">SUM(Allen!D23,Mike!D23,Jonah!D23,Jarren!D23,Chance!D23,'Jonathan Mach'!D23,Zach!D23,Hayden!D23,Kyle!D23,'Jonathan Mather'!D23,Cameron!D23,Emmet!D23,Jackson!D23,Khai!D23,'Mario Q'!D23,Aaron!D23,Ian!D23,Charlie!D23,'Mario S'!D23,David!D23)</f>
        <v>3</v>
      </c>
      <c r="E5" s="34" t="n">
        <f aca="false">SUM(Allen!E23,Mike!E23,Jonah!E23,Jarren!E23,Chance!E23,'Jonathan Mach'!E23,Zach!E23,Hayden!E23,Kyle!E23,'Jonathan Mather'!E23,Cameron!E23,Emmet!E23,Jackson!E23,Khai!E23,'Mario Q'!E23,Aaron!E23,Ian!E23,Charlie!E23,'Mario S'!E23,David!E23)</f>
        <v>3</v>
      </c>
      <c r="F5" s="34" t="n">
        <f aca="false">SUM(Allen!F23,Mike!F23,Jonah!F23,Jarren!F23,Chance!F23,'Jonathan Mach'!F23,Zach!F23,Hayden!F23,Kyle!F23,'Jonathan Mather'!F23,Cameron!F23,Emmet!F23,Jackson!F23,Khai!F23,'Mario Q'!F23,Aaron!F23,Ian!F23,Charlie!F23,'Mario S'!F23,David!F23)</f>
        <v>4</v>
      </c>
      <c r="G5" s="34" t="n">
        <f aca="false">SUM(Allen!G23,Mike!G23,Jonah!G23,Jarren!G23,Chance!G23,'Jonathan Mach'!G23,Zach!G23,Hayden!G23,Kyle!G23,'Jonathan Mather'!G23,Cameron!G23,Emmet!G23,Jackson!G23,Khai!G23,'Mario Q'!G23,Aaron!G23,Ian!G23,Charlie!G23,'Mario S'!G23,David!G23)</f>
        <v>4</v>
      </c>
      <c r="H5" s="34" t="n">
        <f aca="false">SUM(Allen!H23,Mike!H23,Jonah!H23,Jarren!H23,Chance!H23,'Jonathan Mach'!H23,Zach!H23,Hayden!H23,Kyle!H23,'Jonathan Mather'!H23,Cameron!H23,Emmet!H23,Jackson!H23,Khai!H23,'Mario Q'!H23,Aaron!H23,Ian!H23,Charlie!H23,'Mario S'!H23,David!H23)</f>
        <v>5</v>
      </c>
      <c r="I5" s="34" t="n">
        <f aca="false">SUM(Allen!I23,Mike!I23,Jonah!I23,Jarren!I23,Chance!I23,'Jonathan Mach'!I23,Zach!I23,Hayden!I23,Kyle!I23,'Jonathan Mather'!I23,Cameron!I23,Emmet!I23,Jackson!I23,Khai!I23,'Mario Q'!I23,Aaron!I23,Ian!I23,Charlie!I23,'Mario S'!I23,David!I23)</f>
        <v>5</v>
      </c>
      <c r="J5" s="34" t="n">
        <f aca="false">SUM(Allen!J23,Mike!J23,Jonah!J23,Jarren!J23,Chance!J23,'Jonathan Mach'!J23,Zach!J23,Hayden!J23,Kyle!J23,'Jonathan Mather'!J23,Cameron!J23,Emmet!J23,Jackson!J23,Khai!J23,'Mario Q'!J23,Aaron!J23,Ian!J23,Charlie!J23,'Mario S'!J23,David!J23)</f>
        <v>6</v>
      </c>
      <c r="K5" s="34" t="n">
        <f aca="false">SUM(Allen!K23,Mike!K23,Jonah!K23,Jarren!K23,Chance!K23,'Jonathan Mach'!K23,Zach!K23,Hayden!K23,Kyle!K23,'Jonathan Mather'!K23,Cameron!K23,Emmet!K23,Jackson!K23,Khai!K23,'Mario Q'!K23,Aaron!K23,Ian!K23,Charlie!K23,'Mario S'!K23,David!K23)</f>
        <v>6</v>
      </c>
      <c r="L5" s="34" t="n">
        <f aca="false">SUM(Allen!L23,Mike!L23,Jonah!L23,Jarren!L23,Chance!L23,'Jonathan Mach'!L23,Zach!L23,Hayden!L23,Kyle!L23,'Jonathan Mather'!L23,Cameron!L23,Emmet!L23,Jackson!L23,Khai!L23,'Mario Q'!L23,Aaron!L23,Ian!L23,Charlie!L23,'Mario S'!L23,David!L23)</f>
        <v>3</v>
      </c>
      <c r="M5" s="34" t="n">
        <f aca="false">SUM(Allen!M23,Mike!M23,Jonah!M23,Jarren!M23,Chance!M23,'Jonathan Mach'!M23,Zach!M23,Hayden!M23,Kyle!M23,'Jonathan Mather'!M23,Cameron!M23,Emmet!M23,Jackson!M23,Khai!M23,'Mario Q'!M23,Aaron!M23,Ian!M23,Charlie!M23,'Mario S'!M23,David!M23)</f>
        <v>3</v>
      </c>
      <c r="N5" s="34" t="n">
        <f aca="false">SUM(Allen!N23,Mike!N23,Jonah!N23,Jarren!N23,Chance!N23,'Jonathan Mach'!N23,Zach!N23,Hayden!N23,Kyle!N23,'Jonathan Mather'!N23,Cameron!N23,Emmet!N23,Jackson!N23,Khai!N23,'Mario Q'!N23,Aaron!N23,Ian!N23,Charlie!N23,'Mario S'!N23,David!N23)</f>
        <v>4</v>
      </c>
      <c r="O5" s="34" t="n">
        <f aca="false">SUM(Allen!O23,Mike!O23,Jonah!O23,Jarren!O23,Chance!O23,'Jonathan Mach'!O23,Zach!O23,Hayden!O23,Kyle!O23,'Jonathan Mather'!O23,Cameron!O23,Emmet!O23,Jackson!O23,Khai!O23,'Mario Q'!O23,Aaron!O23,Ian!O23,Charlie!O23,'Mario S'!O23,David!O23)</f>
        <v>4</v>
      </c>
      <c r="P5" s="34" t="n">
        <f aca="false">SUM(Allen!P23,Mike!P23,Jonah!P23,Jarren!P23,Chance!P23,'Jonathan Mach'!P23,Zach!P23,Hayden!P23,Kyle!P23,'Jonathan Mather'!P23,Cameron!P23,Emmet!P23,Jackson!P23,Khai!P23,'Mario Q'!P23,Aaron!P23,Ian!P23,Charlie!P23,'Mario S'!P23,David!P23)</f>
        <v>4</v>
      </c>
      <c r="Q5" s="34" t="n">
        <f aca="false">SUM(Allen!Q23,Mike!Q23,Jonah!Q23,Jarren!Q23,Chance!Q23,'Jonathan Mach'!Q23,Zach!Q23,Hayden!Q23,Kyle!Q23,'Jonathan Mather'!Q23,Cameron!Q23,Emmet!Q23,Jackson!Q23,Khai!Q23,'Mario Q'!Q23,Aaron!Q23,Ian!Q23,Charlie!Q23,'Mario S'!Q23,David!Q23)</f>
        <v>4</v>
      </c>
      <c r="R5" s="34" t="n">
        <f aca="false">SUM(Allen!R23,Mike!R23,Jonah!R23,Jarren!R23,Chance!R23,'Jonathan Mach'!R23,Zach!R23,Hayden!R23,Kyle!R23,'Jonathan Mather'!R23,Cameron!R23,Emmet!R23,Jackson!R23,Khai!R23,'Mario Q'!R23,Aaron!R23,Ian!R23,Charlie!R23,'Mario S'!R23,David!R23)</f>
        <v>2</v>
      </c>
      <c r="S5" s="34" t="n">
        <f aca="false">SUM(Allen!S23,Mike!S23,Jonah!S23,Jarren!S23,Chance!S23,'Jonathan Mach'!S23,Zach!S23,Hayden!S23,Kyle!S23,'Jonathan Mather'!S23,Cameron!S23,Emmet!S23,Jackson!S23,Khai!S23,'Mario Q'!S23,Aaron!S23,Ian!S23,Charlie!S23,'Mario S'!S23,David!S23)</f>
        <v>2</v>
      </c>
      <c r="T5" s="34" t="n">
        <f aca="false">SUM(Allen!T23,Mike!T23,Jonah!T23,Jarren!T23,Chance!T23,'Jonathan Mach'!T23,Zach!T23,Hayden!T23,Kyle!T23,'Jonathan Mather'!T23,Cameron!T23,Emmet!T23,Jackson!T23,Khai!T23,'Mario Q'!T23,Aaron!T23,Ian!T23,Charlie!T23,'Mario S'!T23,David!T23)</f>
        <v>1</v>
      </c>
      <c r="U5" s="34" t="n">
        <f aca="false">SUM(Allen!U23,Mike!U23,Jonah!U23,Jarren!U23,Chance!U23,'Jonathan Mach'!U23,Zach!U23,Hayden!U23,Kyle!U23,'Jonathan Mather'!U23,Cameron!U23,Emmet!U23,Jackson!U23,Khai!U23,'Mario Q'!U23,Aaron!U23,Ian!U23,Charlie!U23,'Mario S'!U23,David!U23)</f>
        <v>1</v>
      </c>
      <c r="V5" s="34" t="n">
        <f aca="false">SUM(Allen!V23,Mike!V23,Jonah!V23,Jarren!V23,Chance!V23,'Jonathan Mach'!V23,Zach!V23,Hayden!V23,Kyle!V23,'Jonathan Mather'!V23,Cameron!V23,Emmet!V23,Jackson!V23,Khai!V23,'Mario Q'!V23,Aaron!V23,Ian!V23,Charlie!V23,'Mario S'!V23,David!V23)</f>
        <v>1</v>
      </c>
      <c r="W5" s="34" t="n">
        <f aca="false">SUM(Allen!W23,Mike!W23,Jonah!W23,Jarren!W23,Chance!W23,'Jonathan Mach'!W23,Zach!W23,Hayden!W23,Kyle!W23,'Jonathan Mather'!W23,Cameron!W23,Emmet!W23,Jackson!W23,Khai!W23,'Mario Q'!W23,Aaron!W23,Ian!W23,Charlie!W23,'Mario S'!W23,David!W23)</f>
        <v>1</v>
      </c>
      <c r="X5" s="34" t="n">
        <f aca="false">SUM(Allen!X23,Mike!X23,Jonah!X23,Jarren!X23,Chance!X23,'Jonathan Mach'!X23,Zach!X23,Hayden!X23,Kyle!X23,'Jonathan Mather'!X23,Cameron!X23,Emmet!X23,Jackson!X23,Khai!X23,'Mario Q'!X23,Aaron!X23,Ian!X23,Charlie!X23,'Mario S'!X23,David!X23)</f>
        <v>0</v>
      </c>
      <c r="Y5" s="34" t="n">
        <f aca="false">SUM(Allen!Y23,Mike!Y23,Jonah!Y23,Jarren!Y23,Chance!Y23,'Jonathan Mach'!Y23,Zach!Y23,Hayden!Y23,Kyle!Y23,'Jonathan Mather'!Y23,Cameron!Y23,Emmet!Y23,Jackson!Y23,Khai!Y23,'Mario Q'!Y23,Aaron!Y23,Ian!Y23,Charlie!Y23,'Mario S'!Y23,David!Y23)</f>
        <v>0</v>
      </c>
    </row>
    <row r="6" customFormat="false" ht="15.75" hidden="false" customHeight="true" outlineLevel="0" collapsed="false">
      <c r="A6" s="33" t="s">
        <v>73</v>
      </c>
      <c r="B6" s="34" t="n">
        <f aca="false">SUM(Allen!B24,Mike!B24,Jonah!B24,Jarren!B24,Chance!B24,'Jonathan Mach'!B24,Zach!B24,Hayden!B24,Kyle!B24,'Jonathan Mather'!B24,Cameron!B24,Emmet!B24,Jackson!B24,Khai!B24,'Mario Q'!B24,Aaron!B24,Ian!B24,Charlie!B24,'Mario S'!B24,David!B24)</f>
        <v>0</v>
      </c>
      <c r="C6" s="34" t="n">
        <f aca="false">SUM(Allen!C24,Mike!C24,Jonah!C24,Jarren!C24,Chance!C24,'Jonathan Mach'!C24,Zach!C24,Hayden!C24,Kyle!C24,'Jonathan Mather'!C24,Cameron!C24,Emmet!C24,Jackson!C24,Khai!C24,'Mario Q'!C24,Aaron!C24,Ian!C24,Charlie!C24,'Mario S'!C24,David!C24)</f>
        <v>0</v>
      </c>
      <c r="D6" s="34" t="n">
        <f aca="false">SUM(Allen!D24,Mike!D24,Jonah!D24,Jarren!D24,Chance!D24,'Jonathan Mach'!D24,Zach!D24,Hayden!D24,Kyle!D24,'Jonathan Mather'!D24,Cameron!D24,Emmet!D24,Jackson!D24,Khai!D24,'Mario Q'!D24,Aaron!D24,Ian!D24,Charlie!D24,'Mario S'!D24,David!D24)</f>
        <v>1</v>
      </c>
      <c r="E6" s="34" t="n">
        <f aca="false">SUM(Allen!E24,Mike!E24,Jonah!E24,Jarren!E24,Chance!E24,'Jonathan Mach'!E24,Zach!E24,Hayden!E24,Kyle!E24,'Jonathan Mather'!E24,Cameron!E24,Emmet!E24,Jackson!E24,Khai!E24,'Mario Q'!E24,Aaron!E24,Ian!E24,Charlie!E24,'Mario S'!E24,David!E24)</f>
        <v>2</v>
      </c>
      <c r="F6" s="34" t="n">
        <f aca="false">SUM(Allen!F24,Mike!F24,Jonah!F24,Jarren!F24,Chance!F24,'Jonathan Mach'!F24,Zach!F24,Hayden!F24,Kyle!F24,'Jonathan Mather'!F24,Cameron!F24,Emmet!F24,Jackson!F24,Khai!F24,'Mario Q'!F24,Aaron!F24,Ian!F24,Charlie!F24,'Mario S'!F24,David!F24)</f>
        <v>3</v>
      </c>
      <c r="G6" s="34" t="n">
        <f aca="false">SUM(Allen!G24,Mike!G24,Jonah!G24,Jarren!G24,Chance!G24,'Jonathan Mach'!G24,Zach!G24,Hayden!G24,Kyle!G24,'Jonathan Mather'!G24,Cameron!G24,Emmet!G24,Jackson!G24,Khai!G24,'Mario Q'!G24,Aaron!G24,Ian!G24,Charlie!G24,'Mario S'!G24,David!G24)</f>
        <v>2</v>
      </c>
      <c r="H6" s="34" t="n">
        <f aca="false">SUM(Allen!H24,Mike!H24,Jonah!H24,Jarren!H24,Chance!H24,'Jonathan Mach'!H24,Zach!H24,Hayden!H24,Kyle!H24,'Jonathan Mather'!H24,Cameron!H24,Emmet!H24,Jackson!H24,Khai!H24,'Mario Q'!H24,Aaron!H24,Ian!H24,Charlie!H24,'Mario S'!H24,David!H24)</f>
        <v>6</v>
      </c>
      <c r="I6" s="34" t="n">
        <f aca="false">SUM(Allen!I24,Mike!I24,Jonah!I24,Jarren!I24,Chance!I24,'Jonathan Mach'!I24,Zach!I24,Hayden!I24,Kyle!I24,'Jonathan Mather'!I24,Cameron!I24,Emmet!I24,Jackson!I24,Khai!I24,'Mario Q'!I24,Aaron!I24,Ian!I24,Charlie!I24,'Mario S'!I24,David!I24)</f>
        <v>6</v>
      </c>
      <c r="J6" s="34" t="n">
        <f aca="false">SUM(Allen!J24,Mike!J24,Jonah!J24,Jarren!J24,Chance!J24,'Jonathan Mach'!J24,Zach!J24,Hayden!J24,Kyle!J24,'Jonathan Mather'!J24,Cameron!J24,Emmet!J24,Jackson!J24,Khai!J24,'Mario Q'!J24,Aaron!J24,Ian!J24,Charlie!J24,'Mario S'!J24,David!J24)</f>
        <v>6</v>
      </c>
      <c r="K6" s="34" t="n">
        <f aca="false">SUM(Allen!K24,Mike!K24,Jonah!K24,Jarren!K24,Chance!K24,'Jonathan Mach'!K24,Zach!K24,Hayden!K24,Kyle!K24,'Jonathan Mather'!K24,Cameron!K24,Emmet!K24,Jackson!K24,Khai!K24,'Mario Q'!K24,Aaron!K24,Ian!K24,Charlie!K24,'Mario S'!K24,David!K24)</f>
        <v>7</v>
      </c>
      <c r="L6" s="34" t="n">
        <f aca="false">SUM(Allen!L24,Mike!L24,Jonah!L24,Jarren!L24,Chance!L24,'Jonathan Mach'!L24,Zach!L24,Hayden!L24,Kyle!L24,'Jonathan Mather'!L24,Cameron!L24,Emmet!L24,Jackson!L24,Khai!L24,'Mario Q'!L24,Aaron!L24,Ian!L24,Charlie!L24,'Mario S'!L24,David!L24)</f>
        <v>5</v>
      </c>
      <c r="M6" s="34" t="n">
        <f aca="false">SUM(Allen!M24,Mike!M24,Jonah!M24,Jarren!M24,Chance!M24,'Jonathan Mach'!M24,Zach!M24,Hayden!M24,Kyle!M24,'Jonathan Mather'!M24,Cameron!M24,Emmet!M24,Jackson!M24,Khai!M24,'Mario Q'!M24,Aaron!M24,Ian!M24,Charlie!M24,'Mario S'!M24,David!M24)</f>
        <v>6</v>
      </c>
      <c r="N6" s="34" t="n">
        <f aca="false">SUM(Allen!N24,Mike!N24,Jonah!N24,Jarren!N24,Chance!N24,'Jonathan Mach'!N24,Zach!N24,Hayden!N24,Kyle!N24,'Jonathan Mather'!N24,Cameron!N24,Emmet!N24,Jackson!N24,Khai!N24,'Mario Q'!N24,Aaron!N24,Ian!N24,Charlie!N24,'Mario S'!N24,David!N24)</f>
        <v>8</v>
      </c>
      <c r="O6" s="34" t="n">
        <f aca="false">SUM(Allen!O24,Mike!O24,Jonah!O24,Jarren!O24,Chance!O24,'Jonathan Mach'!O24,Zach!O24,Hayden!O24,Kyle!O24,'Jonathan Mather'!O24,Cameron!O24,Emmet!O24,Jackson!O24,Khai!O24,'Mario Q'!O24,Aaron!O24,Ian!O24,Charlie!O24,'Mario S'!O24,David!O24)</f>
        <v>6</v>
      </c>
      <c r="P6" s="34" t="n">
        <f aca="false">SUM(Allen!P24,Mike!P24,Jonah!P24,Jarren!P24,Chance!P24,'Jonathan Mach'!P24,Zach!P24,Hayden!P24,Kyle!P24,'Jonathan Mather'!P24,Cameron!P24,Emmet!P24,Jackson!P24,Khai!P24,'Mario Q'!P24,Aaron!P24,Ian!P24,Charlie!P24,'Mario S'!P24,David!P24)</f>
        <v>5</v>
      </c>
      <c r="Q6" s="34" t="n">
        <f aca="false">SUM(Allen!Q24,Mike!Q24,Jonah!Q24,Jarren!Q24,Chance!Q24,'Jonathan Mach'!Q24,Zach!Q24,Hayden!Q24,Kyle!Q24,'Jonathan Mather'!Q24,Cameron!Q24,Emmet!Q24,Jackson!Q24,Khai!Q24,'Mario Q'!Q24,Aaron!Q24,Ian!Q24,Charlie!Q24,'Mario S'!Q24,David!Q24)</f>
        <v>5</v>
      </c>
      <c r="R6" s="34" t="n">
        <f aca="false">SUM(Allen!R24,Mike!R24,Jonah!R24,Jarren!R24,Chance!R24,'Jonathan Mach'!R24,Zach!R24,Hayden!R24,Kyle!R24,'Jonathan Mather'!R24,Cameron!R24,Emmet!R24,Jackson!R24,Khai!R24,'Mario Q'!R24,Aaron!R24,Ian!R24,Charlie!R24,'Mario S'!R24,David!R24)</f>
        <v>5</v>
      </c>
      <c r="S6" s="34" t="n">
        <f aca="false">SUM(Allen!S24,Mike!S24,Jonah!S24,Jarren!S24,Chance!S24,'Jonathan Mach'!S24,Zach!S24,Hayden!S24,Kyle!S24,'Jonathan Mather'!S24,Cameron!S24,Emmet!S24,Jackson!S24,Khai!S24,'Mario Q'!S24,Aaron!S24,Ian!S24,Charlie!S24,'Mario S'!S24,David!S24)</f>
        <v>4</v>
      </c>
      <c r="T6" s="34" t="n">
        <f aca="false">SUM(Allen!T24,Mike!T24,Jonah!T24,Jarren!T24,Chance!T24,'Jonathan Mach'!T24,Zach!T24,Hayden!T24,Kyle!T24,'Jonathan Mather'!T24,Cameron!T24,Emmet!T24,Jackson!T24,Khai!T24,'Mario Q'!T24,Aaron!T24,Ian!T24,Charlie!T24,'Mario S'!T24,David!T24)</f>
        <v>4</v>
      </c>
      <c r="U6" s="34" t="n">
        <f aca="false">SUM(Allen!U24,Mike!U24,Jonah!U24,Jarren!U24,Chance!U24,'Jonathan Mach'!U24,Zach!U24,Hayden!U24,Kyle!U24,'Jonathan Mather'!U24,Cameron!U24,Emmet!U24,Jackson!U24,Khai!U24,'Mario Q'!U24,Aaron!U24,Ian!U24,Charlie!U24,'Mario S'!U24,David!U24)</f>
        <v>4</v>
      </c>
      <c r="V6" s="38"/>
      <c r="W6" s="38"/>
      <c r="X6" s="38"/>
      <c r="Y6" s="38"/>
    </row>
    <row r="7" customFormat="false" ht="15.75" hidden="false" customHeight="true" outlineLevel="0" collapsed="false">
      <c r="A7" s="33" t="s">
        <v>75</v>
      </c>
      <c r="B7" s="34" t="n">
        <f aca="false">SUM(Allen!B25,Mike!B25,Jonah!B25,Jarren!B25,Chance!B25,'Jonathan Mach'!B25,Zach!B25,Hayden!B25,Kyle!B25,'Jonathan Mather'!B25,Cameron!B25,Emmet!B25,Jackson!B25,Khai!B25,'Mario Q'!B25,Aaron!B25,Ian!B25,Charlie!B25,'Mario S'!B25,David!B25)</f>
        <v>0</v>
      </c>
      <c r="C7" s="34" t="n">
        <f aca="false">SUM(Allen!C25,Mike!C25,Jonah!C25,Jarren!C25,Chance!C25,'Jonathan Mach'!C25,Zach!C25,Hayden!C25,Kyle!C25,'Jonathan Mather'!C25,Cameron!C25,Emmet!C25,Jackson!C25,Khai!C25,'Mario Q'!C25,Aaron!C25,Ian!C25,Charlie!C25,'Mario S'!C25,David!C25)</f>
        <v>0</v>
      </c>
      <c r="D7" s="34" t="n">
        <f aca="false">SUM(Allen!D25,Mike!D25,Jonah!D25,Jarren!D25,Chance!D25,'Jonathan Mach'!D25,Zach!D25,Hayden!D25,Kyle!D25,'Jonathan Mather'!D25,Cameron!D25,Emmet!D25,Jackson!D25,Khai!D25,'Mario Q'!D25,Aaron!D25,Ian!D25,Charlie!D25,'Mario S'!D25,David!D25)</f>
        <v>3</v>
      </c>
      <c r="E7" s="34" t="n">
        <f aca="false">SUM(Allen!E25,Mike!E25,Jonah!E25,Jarren!E25,Chance!E25,'Jonathan Mach'!E25,Zach!E25,Hayden!E25,Kyle!E25,'Jonathan Mather'!E25,Cameron!E25,Emmet!E25,Jackson!E25,Khai!E25,'Mario Q'!E25,Aaron!E25,Ian!E25,Charlie!E25,'Mario S'!E25,David!E25)</f>
        <v>3</v>
      </c>
      <c r="F7" s="34" t="n">
        <f aca="false">SUM(Allen!F25,Mike!F25,Jonah!F25,Jarren!F25,Chance!F25,'Jonathan Mach'!F25,Zach!F25,Hayden!F25,Kyle!F25,'Jonathan Mather'!F25,Cameron!F25,Emmet!F25,Jackson!F25,Khai!F25,'Mario Q'!F25,Aaron!F25,Ian!F25,Charlie!F25,'Mario S'!F25,David!F25)</f>
        <v>4</v>
      </c>
      <c r="G7" s="34" t="n">
        <f aca="false">SUM(Allen!G25,Mike!G25,Jonah!G25,Jarren!G25,Chance!G25,'Jonathan Mach'!G25,Zach!G25,Hayden!G25,Kyle!G25,'Jonathan Mather'!G25,Cameron!G25,Emmet!G25,Jackson!G25,Khai!G25,'Mario Q'!G25,Aaron!G25,Ian!G25,Charlie!G25,'Mario S'!G25,David!G25)</f>
        <v>4</v>
      </c>
      <c r="H7" s="34" t="n">
        <f aca="false">SUM(Allen!H25,Mike!H25,Jonah!H25,Jarren!H25,Chance!H25,'Jonathan Mach'!H25,Zach!H25,Hayden!H25,Kyle!H25,'Jonathan Mather'!H25,Cameron!H25,Emmet!H25,Jackson!H25,Khai!H25,'Mario Q'!H25,Aaron!H25,Ian!H25,Charlie!H25,'Mario S'!H25,David!H25)</f>
        <v>5</v>
      </c>
      <c r="I7" s="34" t="n">
        <f aca="false">SUM(Allen!I25,Mike!I25,Jonah!I25,Jarren!I25,Chance!I25,'Jonathan Mach'!I25,Zach!I25,Hayden!I25,Kyle!I25,'Jonathan Mather'!I25,Cameron!I25,Emmet!I25,Jackson!I25,Khai!I25,'Mario Q'!I25,Aaron!I25,Ian!I25,Charlie!I25,'Mario S'!I25,David!I25)</f>
        <v>5</v>
      </c>
      <c r="J7" s="34" t="n">
        <f aca="false">SUM(Allen!J25,Mike!J25,Jonah!J25,Jarren!J25,Chance!J25,'Jonathan Mach'!J25,Zach!J25,Hayden!J25,Kyle!J25,'Jonathan Mather'!J25,Cameron!J25,Emmet!J25,Jackson!J25,Khai!J25,'Mario Q'!J25,Aaron!J25,Ian!J25,Charlie!J25,'Mario S'!J25,David!J25)</f>
        <v>6</v>
      </c>
      <c r="K7" s="34" t="n">
        <f aca="false">SUM(Allen!K25,Mike!K25,Jonah!K25,Jarren!K25,Chance!K25,'Jonathan Mach'!K25,Zach!K25,Hayden!K25,Kyle!K25,'Jonathan Mather'!K25,Cameron!K25,Emmet!K25,Jackson!K25,Khai!K25,'Mario Q'!K25,Aaron!K25,Ian!K25,Charlie!K25,'Mario S'!K25,David!K25)</f>
        <v>6</v>
      </c>
      <c r="L7" s="34" t="n">
        <f aca="false">SUM(Allen!L25,Mike!L25,Jonah!L25,Jarren!L25,Chance!L25,'Jonathan Mach'!L25,Zach!L25,Hayden!L25,Kyle!L25,'Jonathan Mather'!L25,Cameron!L25,Emmet!L25,Jackson!L25,Khai!L25,'Mario Q'!L25,Aaron!L25,Ian!L25,Charlie!L25,'Mario S'!L25,David!L25)</f>
        <v>3</v>
      </c>
      <c r="M7" s="34" t="n">
        <f aca="false">SUM(Allen!M25,Mike!M25,Jonah!M25,Jarren!M25,Chance!M25,'Jonathan Mach'!M25,Zach!M25,Hayden!M25,Kyle!M25,'Jonathan Mather'!M25,Cameron!M25,Emmet!M25,Jackson!M25,Khai!M25,'Mario Q'!M25,Aaron!M25,Ian!M25,Charlie!M25,'Mario S'!M25,David!M25)</f>
        <v>3</v>
      </c>
      <c r="N7" s="34" t="n">
        <f aca="false">SUM(Allen!N25,Mike!N25,Jonah!N25,Jarren!N25,Chance!N25,'Jonathan Mach'!N25,Zach!N25,Hayden!N25,Kyle!N25,'Jonathan Mather'!N25,Cameron!N25,Emmet!N25,Jackson!N25,Khai!N25,'Mario Q'!N25,Aaron!N25,Ian!N25,Charlie!N25,'Mario S'!N25,David!N25)</f>
        <v>3</v>
      </c>
      <c r="O7" s="34" t="n">
        <f aca="false">SUM(Allen!O25,Mike!O25,Jonah!O25,Jarren!O25,Chance!O25,'Jonathan Mach'!O25,Zach!O25,Hayden!O25,Kyle!O25,'Jonathan Mather'!O25,Cameron!O25,Emmet!O25,Jackson!O25,Khai!O25,'Mario Q'!O25,Aaron!O25,Ian!O25,Charlie!O25,'Mario S'!O25,David!O25)</f>
        <v>3</v>
      </c>
      <c r="P7" s="34" t="n">
        <f aca="false">SUM(Allen!P25,Mike!P25,Jonah!P25,Jarren!P25,Chance!P25,'Jonathan Mach'!P25,Zach!P25,Hayden!P25,Kyle!P25,'Jonathan Mather'!P25,Cameron!P25,Emmet!P25,Jackson!P25,Khai!P25,'Mario Q'!P25,Aaron!P25,Ian!P25,Charlie!P25,'Mario S'!P25,David!P25)</f>
        <v>3</v>
      </c>
      <c r="Q7" s="34" t="n">
        <f aca="false">SUM(Allen!Q25,Mike!Q25,Jonah!Q25,Jarren!Q25,Chance!Q25,'Jonathan Mach'!Q25,Zach!Q25,Hayden!Q25,Kyle!Q25,'Jonathan Mather'!Q25,Cameron!Q25,Emmet!Q25,Jackson!Q25,Khai!Q25,'Mario Q'!Q25,Aaron!Q25,Ian!Q25,Charlie!Q25,'Mario S'!Q25,David!Q25)</f>
        <v>3</v>
      </c>
      <c r="R7" s="34" t="n">
        <f aca="false">SUM(Allen!R25,Mike!R25,Jonah!R25,Jarren!R25,Chance!R25,'Jonathan Mach'!R25,Zach!R25,Hayden!R25,Kyle!R25,'Jonathan Mather'!R25,Cameron!R25,Emmet!R25,Jackson!R25,Khai!R25,'Mario Q'!R25,Aaron!R25,Ian!R25,Charlie!R25,'Mario S'!R25,David!R25)</f>
        <v>1</v>
      </c>
      <c r="S7" s="34" t="n">
        <f aca="false">SUM(Allen!S25,Mike!S25,Jonah!S25,Jarren!S25,Chance!S25,'Jonathan Mach'!S25,Zach!S25,Hayden!S25,Kyle!S25,'Jonathan Mather'!S25,Cameron!S25,Emmet!S25,Jackson!S25,Khai!S25,'Mario Q'!S25,Aaron!S25,Ian!S25,Charlie!S25,'Mario S'!S25,David!S25)</f>
        <v>1</v>
      </c>
      <c r="T7" s="34" t="n">
        <f aca="false">SUM(Allen!T25,Mike!T25,Jonah!T25,Jarren!T25,Chance!T25,'Jonathan Mach'!T25,Zach!T25,Hayden!T25,Kyle!T25,'Jonathan Mather'!T25,Cameron!T25,Emmet!T25,Jackson!T25,Khai!T25,'Mario Q'!T25,Aaron!T25,Ian!T25,Charlie!T25,'Mario S'!T25,David!T25)</f>
        <v>0</v>
      </c>
      <c r="U7" s="34" t="n">
        <f aca="false">SUM(Allen!U25,Mike!U25,Jonah!U25,Jarren!U25,Chance!U25,'Jonathan Mach'!U25,Zach!U25,Hayden!U25,Kyle!U25,'Jonathan Mather'!U25,Cameron!U25,Emmet!U25,Jackson!U25,Khai!U25,'Mario Q'!U25,Aaron!U25,Ian!U25,Charlie!U25,'Mario S'!U25,David!U25)</f>
        <v>0</v>
      </c>
      <c r="V7" s="34" t="n">
        <f aca="false">SUM(Allen!V25,Mike!V25,Jonah!V25,Jarren!V25,Chance!V25,'Jonathan Mach'!V25,Zach!V25,Hayden!V25,Kyle!V25,'Jonathan Mather'!V25,Cameron!V25,Emmet!V25,Jackson!V25,Khai!V25,'Mario Q'!V25,Aaron!V25,Ian!V25,Charlie!V25,'Mario S'!V25,David!V25)</f>
        <v>0</v>
      </c>
      <c r="W7" s="34" t="n">
        <f aca="false">SUM(Allen!W25,Mike!W25,Jonah!W25,Jarren!W25,Chance!W25,'Jonathan Mach'!W25,Zach!W25,Hayden!W25,Kyle!W25,'Jonathan Mather'!W25,Cameron!W25,Emmet!W25,Jackson!W25,Khai!W25,'Mario Q'!W25,Aaron!W25,Ian!W25,Charlie!W25,'Mario S'!W25,David!W25)</f>
        <v>0</v>
      </c>
      <c r="X7" s="34" t="n">
        <f aca="false">SUM(Allen!X25,Mike!X25,Jonah!X25,Jarren!X25,Chance!X25,'Jonathan Mach'!X25,Zach!X25,Hayden!X25,Kyle!X25,'Jonathan Mather'!X25,Cameron!X25,Emmet!X25,Jackson!X25,Khai!X25,'Mario Q'!X25,Aaron!X25,Ian!X25,Charlie!X25,'Mario S'!X25,David!X25)</f>
        <v>0</v>
      </c>
      <c r="Y7" s="34" t="n">
        <f aca="false">SUM(Allen!Y25,Mike!Y25,Jonah!Y25,Jarren!Y25,Chance!Y25,'Jonathan Mach'!Y25,Zach!Y25,Hayden!Y25,Kyle!Y25,'Jonathan Mather'!Y25,Cameron!Y25,Emmet!Y25,Jackson!Y25,Khai!Y25,'Mario Q'!Y25,Aaron!Y25,Ian!Y25,Charlie!Y25,'Mario S'!Y25,David!Y25)</f>
        <v>0</v>
      </c>
    </row>
    <row r="8" customFormat="false" ht="15.75" hidden="false" customHeight="true" outlineLevel="0" collapsed="false">
      <c r="A8" s="33" t="s">
        <v>76</v>
      </c>
      <c r="B8" s="34" t="n">
        <f aca="false">SUM(Allen!B26,Mike!B26,Jonah!B26,Jarren!B26,Chance!B26,'Jonathan Mach'!B26,Zach!B26,Hayden!B26,Kyle!B26,'Jonathan Mather'!B26,Cameron!B26,Emmet!B26,Jackson!B26,Khai!B26,'Mario Q'!B26,Aaron!B26,Ian!B26,Charlie!B26,'Mario S'!B26,David!B26)</f>
        <v>0</v>
      </c>
      <c r="C8" s="34" t="n">
        <f aca="false">SUM(Allen!C26,Mike!C26,Jonah!C26,Jarren!C26,Chance!C26,'Jonathan Mach'!C26,Zach!C26,Hayden!C26,Kyle!C26,'Jonathan Mather'!C26,Cameron!C26,Emmet!C26,Jackson!C26,Khai!C26,'Mario Q'!C26,Aaron!C26,Ian!C26,Charlie!C26,'Mario S'!C26,David!C26)</f>
        <v>0</v>
      </c>
      <c r="D8" s="34" t="n">
        <f aca="false">SUM(Allen!D26,Mike!D26,Jonah!D26,Jarren!D26,Chance!D26,'Jonathan Mach'!D26,Zach!D26,Hayden!D26,Kyle!D26,'Jonathan Mather'!D26,Cameron!D26,Emmet!D26,Jackson!D26,Khai!D26,'Mario Q'!D26,Aaron!D26,Ian!D26,Charlie!D26,'Mario S'!D26,David!D26)</f>
        <v>2</v>
      </c>
      <c r="E8" s="34" t="n">
        <f aca="false">SUM(Allen!E26,Mike!E26,Jonah!E26,Jarren!E26,Chance!E26,'Jonathan Mach'!E26,Zach!E26,Hayden!E26,Kyle!E26,'Jonathan Mather'!E26,Cameron!E26,Emmet!E26,Jackson!E26,Khai!E26,'Mario Q'!E26,Aaron!E26,Ian!E26,Charlie!E26,'Mario S'!E26,David!E26)</f>
        <v>2</v>
      </c>
      <c r="F8" s="34" t="n">
        <f aca="false">SUM(Allen!F26,Mike!F26,Jonah!F26,Jarren!F26,Chance!F26,'Jonathan Mach'!F26,Zach!F26,Hayden!F26,Kyle!F26,'Jonathan Mather'!F26,Cameron!F26,Emmet!F26,Jackson!F26,Khai!F26,'Mario Q'!F26,Aaron!F26,Ian!F26,Charlie!F26,'Mario S'!F26,David!F26)</f>
        <v>2</v>
      </c>
      <c r="G8" s="34" t="n">
        <f aca="false">SUM(Allen!G26,Mike!G26,Jonah!G26,Jarren!G26,Chance!G26,'Jonathan Mach'!G26,Zach!G26,Hayden!G26,Kyle!G26,'Jonathan Mather'!G26,Cameron!G26,Emmet!G26,Jackson!G26,Khai!G26,'Mario Q'!G26,Aaron!G26,Ian!G26,Charlie!G26,'Mario S'!G26,David!G26)</f>
        <v>2</v>
      </c>
      <c r="H8" s="38"/>
      <c r="I8" s="38"/>
      <c r="J8" s="38"/>
      <c r="K8" s="38"/>
      <c r="L8" s="34" t="n">
        <f aca="false">SUM(Allen!L26,Mike!L26,Jonah!L26,Jarren!L26,Chance!L26,'Jonathan Mach'!L26,Zach!L26,Hayden!L26,Kyle!L26,'Jonathan Mather'!L26,Cameron!L26,Emmet!L26,Jackson!L26,Khai!L26,'Mario Q'!L26,Aaron!L26,Ian!L26,Charlie!L26,'Mario S'!L26,David!L26)</f>
        <v>5</v>
      </c>
      <c r="M8" s="34" t="n">
        <f aca="false">SUM(Allen!M26,Mike!M26,Jonah!M26,Jarren!M26,Chance!M26,'Jonathan Mach'!M26,Zach!M26,Hayden!M26,Kyle!M26,'Jonathan Mather'!M26,Cameron!M26,Emmet!M26,Jackson!M26,Khai!M26,'Mario Q'!M26,Aaron!M26,Ian!M26,Charlie!M26,'Mario S'!M26,David!M26)</f>
        <v>5</v>
      </c>
      <c r="N8" s="34" t="n">
        <f aca="false">SUM(Allen!N26,Mike!N26,Jonah!N26,Jarren!N26,Chance!N26,'Jonathan Mach'!N26,Zach!N26,Hayden!N26,Kyle!N26,'Jonathan Mather'!N26,Cameron!N26,Emmet!N26,Jackson!N26,Khai!N26,'Mario Q'!N26,Aaron!N26,Ian!N26,Charlie!N26,'Mario S'!N26,David!N26)</f>
        <v>3</v>
      </c>
      <c r="O8" s="34" t="n">
        <f aca="false">SUM(Allen!O26,Mike!O26,Jonah!O26,Jarren!O26,Chance!O26,'Jonathan Mach'!O26,Zach!O26,Hayden!O26,Kyle!O26,'Jonathan Mather'!O26,Cameron!O26,Emmet!O26,Jackson!O26,Khai!O26,'Mario Q'!O26,Aaron!O26,Ian!O26,Charlie!O26,'Mario S'!O26,David!O26)</f>
        <v>3</v>
      </c>
      <c r="P8" s="34" t="n">
        <f aca="false">SUM(Allen!P26,Mike!P26,Jonah!P26,Jarren!P26,Chance!P26,'Jonathan Mach'!P26,Zach!P26,Hayden!P26,Kyle!P26,'Jonathan Mather'!P26,Cameron!P26,Emmet!P26,Jackson!P26,Khai!P26,'Mario Q'!P26,Aaron!P26,Ian!P26,Charlie!P26,'Mario S'!P26,David!P26)</f>
        <v>4</v>
      </c>
      <c r="Q8" s="34" t="n">
        <f aca="false">SUM(Allen!Q26,Mike!Q26,Jonah!Q26,Jarren!Q26,Chance!Q26,'Jonathan Mach'!Q26,Zach!Q26,Hayden!Q26,Kyle!Q26,'Jonathan Mather'!Q26,Cameron!Q26,Emmet!Q26,Jackson!Q26,Khai!Q26,'Mario Q'!Q26,Aaron!Q26,Ian!Q26,Charlie!Q26,'Mario S'!Q26,David!Q26)</f>
        <v>4</v>
      </c>
      <c r="R8" s="34" t="n">
        <f aca="false">SUM(Allen!R26,Mike!R26,Jonah!R26,Jarren!R26,Chance!R26,'Jonathan Mach'!R26,Zach!R26,Hayden!R26,Kyle!R26,'Jonathan Mather'!R26,Cameron!R26,Emmet!R26,Jackson!R26,Khai!R26,'Mario Q'!R26,Aaron!R26,Ian!R26,Charlie!R26,'Mario S'!R26,David!R26)</f>
        <v>4</v>
      </c>
      <c r="S8" s="34" t="n">
        <f aca="false">SUM(Allen!S26,Mike!S26,Jonah!S26,Jarren!S26,Chance!S26,'Jonathan Mach'!S26,Zach!S26,Hayden!S26,Kyle!S26,'Jonathan Mather'!S26,Cameron!S26,Emmet!S26,Jackson!S26,Khai!S26,'Mario Q'!S26,Aaron!S26,Ian!S26,Charlie!S26,'Mario S'!S26,David!S26)</f>
        <v>4</v>
      </c>
      <c r="T8" s="34" t="n">
        <f aca="false">SUM(Allen!T26,Mike!T26,Jonah!T26,Jarren!T26,Chance!T26,'Jonathan Mach'!T26,Zach!T26,Hayden!T26,Kyle!T26,'Jonathan Mather'!T26,Cameron!T26,Emmet!T26,Jackson!T26,Khai!T26,'Mario Q'!T26,Aaron!T26,Ian!T26,Charlie!T26,'Mario S'!T26,David!T26)</f>
        <v>1</v>
      </c>
      <c r="U8" s="34" t="n">
        <f aca="false">SUM(Allen!U26,Mike!U26,Jonah!U26,Jarren!U26,Chance!U26,'Jonathan Mach'!U26,Zach!U26,Hayden!U26,Kyle!U26,'Jonathan Mather'!U26,Cameron!U26,Emmet!U26,Jackson!U26,Khai!U26,'Mario Q'!U26,Aaron!U26,Ian!U26,Charlie!U26,'Mario S'!U26,David!U26)</f>
        <v>1</v>
      </c>
      <c r="V8" s="34" t="n">
        <f aca="false">SUM(Allen!V26,Mike!V26,Jonah!V26,Jarren!V26,Chance!V26,'Jonathan Mach'!V26,Zach!V26,Hayden!V26,Kyle!V26,'Jonathan Mather'!V26,Cameron!V26,Emmet!V26,Jackson!V26,Khai!V26,'Mario Q'!V26,Aaron!V26,Ian!V26,Charlie!V26,'Mario S'!V26,David!V26)</f>
        <v>1</v>
      </c>
      <c r="W8" s="34" t="n">
        <f aca="false">SUM(Allen!W26,Mike!W26,Jonah!W26,Jarren!W26,Chance!W26,'Jonathan Mach'!W26,Zach!W26,Hayden!W26,Kyle!W26,'Jonathan Mather'!W26,Cameron!W26,Emmet!W26,Jackson!W26,Khai!W26,'Mario Q'!W26,Aaron!W26,Ian!W26,Charlie!W26,'Mario S'!W26,David!W26)</f>
        <v>1</v>
      </c>
      <c r="X8" s="34" t="n">
        <f aca="false">SUM(Allen!X26,Mike!X26,Jonah!X26,Jarren!X26,Chance!X26,'Jonathan Mach'!X26,Zach!X26,Hayden!X26,Kyle!X26,'Jonathan Mather'!X26,Cameron!X26,Emmet!X26,Jackson!X26,Khai!X26,'Mario Q'!X26,Aaron!X26,Ian!X26,Charlie!X26,'Mario S'!X26,David!X26)</f>
        <v>0</v>
      </c>
      <c r="Y8" s="34" t="n">
        <f aca="false">SUM(Allen!Y26,Mike!Y26,Jonah!Y26,Jarren!Y26,Chance!Y26,'Jonathan Mach'!Y26,Zach!Y26,Hayden!Y26,Kyle!Y26,'Jonathan Mather'!Y26,Cameron!Y26,Emmet!Y26,Jackson!Y26,Khai!Y26,'Mario Q'!Y26,Aaron!Y26,Ian!Y26,Charlie!Y26,'Mario S'!Y26,David!Y26)</f>
        <v>0</v>
      </c>
    </row>
    <row r="9" customFormat="false" ht="15.75" hidden="false" customHeight="true" outlineLevel="0" collapsed="false">
      <c r="A9" s="28" t="n">
        <f aca="false">MAX(B4:Y8)</f>
        <v>8</v>
      </c>
    </row>
    <row r="10" customFormat="false" ht="15.75" hidden="false" customHeight="true" outlineLevel="0" collapsed="false">
      <c r="A10" s="31" t="s">
        <v>167</v>
      </c>
    </row>
    <row r="11" customFormat="false" ht="15.75" hidden="false" customHeight="true" outlineLevel="0" collapsed="false">
      <c r="A11" s="33" t="s">
        <v>24</v>
      </c>
      <c r="B11" s="34" t="n">
        <f aca="false">SUM(Allen!B29,Mike!B29,Jonah!B29,Jarren!B29,Chance!B29,'Jonathan Mach'!B29,Zach!B29,Hayden!B29,Kyle!B29,'Jonathan Mather'!B29,Cameron!B29,Emmet!B29,Jackson!B29,Khai!B29,'Mario Q'!B29,Aaron!B29,Ian!B29,Charlie!B29,'Mario S'!B29,David!B29)</f>
        <v>3</v>
      </c>
      <c r="C11" s="34" t="n">
        <f aca="false">SUM(Allen!C29,Mike!C29,Jonah!C29,Jarren!C29,Chance!C29,'Jonathan Mach'!C29,Zach!C29,Hayden!C29,Kyle!C29,'Jonathan Mather'!C29,Cameron!C29,Emmet!C29,Jackson!C29,Khai!C29,'Mario Q'!C29,Aaron!C29,Ian!C29,Charlie!C29,'Mario S'!C29,David!C29)</f>
        <v>3</v>
      </c>
      <c r="D11" s="34" t="n">
        <f aca="false">SUM(Allen!D29,Mike!D29,Jonah!D29,Jarren!D29,Chance!D29,'Jonathan Mach'!D29,Zach!D29,Hayden!D29,Kyle!D29,'Jonathan Mather'!D29,Cameron!D29,Emmet!D29,Jackson!D29,Khai!D29,'Mario Q'!D29,Aaron!D29,Ian!D29,Charlie!D29,'Mario S'!D29,David!D29)</f>
        <v>5</v>
      </c>
      <c r="E11" s="34" t="n">
        <f aca="false">SUM(Allen!E29,Mike!E29,Jonah!E29,Jarren!E29,Chance!E29,'Jonathan Mach'!E29,Zach!E29,Hayden!E29,Kyle!E29,'Jonathan Mather'!E29,Cameron!E29,Emmet!E29,Jackson!E29,Khai!E29,'Mario Q'!E29,Aaron!E29,Ian!E29,Charlie!E29,'Mario S'!E29,David!E29)</f>
        <v>5</v>
      </c>
      <c r="F11" s="34" t="n">
        <f aca="false">SUM(Allen!F29,Mike!F29,Jonah!F29,Jarren!F29,Chance!F29,'Jonathan Mach'!F29,Zach!F29,Hayden!F29,Kyle!F29,'Jonathan Mather'!F29,Cameron!F29,Emmet!F29,Jackson!F29,Khai!F29,'Mario Q'!F29,Aaron!F29,Ian!F29,Charlie!F29,'Mario S'!F29,David!F29)</f>
        <v>3</v>
      </c>
      <c r="G11" s="34" t="n">
        <f aca="false">SUM(Allen!G29,Mike!G29,Jonah!G29,Jarren!G29,Chance!G29,'Jonathan Mach'!G29,Zach!G29,Hayden!G29,Kyle!G29,'Jonathan Mather'!G29,Cameron!G29,Emmet!G29,Jackson!G29,Khai!G29,'Mario Q'!G29,Aaron!G29,Ian!G29,Charlie!G29,'Mario S'!G29,David!G29)</f>
        <v>2</v>
      </c>
      <c r="H11" s="34" t="n">
        <f aca="false">SUM(Allen!H29,Mike!H29,Jonah!H29,Jarren!H29,Chance!H29,'Jonathan Mach'!H29,Zach!H29,Hayden!H29,Kyle!H29,'Jonathan Mather'!H29,Cameron!H29,Emmet!H29,Jackson!H29,Khai!H29,'Mario Q'!H29,Aaron!H29,Ian!H29,Charlie!H29,'Mario S'!H29,David!H29)</f>
        <v>1</v>
      </c>
      <c r="I11" s="34" t="n">
        <f aca="false">SUM(Allen!I29,Mike!I29,Jonah!I29,Jarren!I29,Chance!I29,'Jonathan Mach'!I29,Zach!I29,Hayden!I29,Kyle!I29,'Jonathan Mather'!I29,Cameron!I29,Emmet!I29,Jackson!I29,Khai!I29,'Mario Q'!I29,Aaron!I29,Ian!I29,Charlie!I29,'Mario S'!I29,David!I29)</f>
        <v>2</v>
      </c>
      <c r="J11" s="34" t="n">
        <f aca="false">SUM(Allen!J29,Mike!J29,Jonah!J29,Jarren!J29,Chance!J29,'Jonathan Mach'!J29,Zach!J29,Hayden!J29,Kyle!J29,'Jonathan Mather'!J29,Cameron!J29,Emmet!J29,Jackson!J29,Khai!J29,'Mario Q'!J29,Aaron!J29,Ian!J29,Charlie!J29,'Mario S'!J29,David!J29)</f>
        <v>2</v>
      </c>
      <c r="K11" s="34" t="n">
        <f aca="false">SUM(Allen!K29,Mike!K29,Jonah!K29,Jarren!K29,Chance!K29,'Jonathan Mach'!K29,Zach!K29,Hayden!K29,Kyle!K29,'Jonathan Mather'!K29,Cameron!K29,Emmet!K29,Jackson!K29,Khai!K29,'Mario Q'!K29,Aaron!K29,Ian!K29,Charlie!K29,'Mario S'!K29,David!K29)</f>
        <v>2</v>
      </c>
      <c r="L11" s="34" t="n">
        <f aca="false">SUM(Allen!L29,Mike!L29,Jonah!L29,Jarren!L29,Chance!L29,'Jonathan Mach'!L29,Zach!L29,Hayden!L29,Kyle!L29,'Jonathan Mather'!L29,Cameron!L29,Emmet!L29,Jackson!L29,Khai!L29,'Mario Q'!L29,Aaron!L29,Ian!L29,Charlie!L29,'Mario S'!L29,David!L29)</f>
        <v>5</v>
      </c>
      <c r="M11" s="34" t="n">
        <f aca="false">SUM(Allen!M29,Mike!M29,Jonah!M29,Jarren!M29,Chance!M29,'Jonathan Mach'!M29,Zach!M29,Hayden!M29,Kyle!M29,'Jonathan Mather'!M29,Cameron!M29,Emmet!M29,Jackson!M29,Khai!M29,'Mario Q'!M29,Aaron!M29,Ian!M29,Charlie!M29,'Mario S'!M29,David!M29)</f>
        <v>5</v>
      </c>
      <c r="N11" s="34" t="n">
        <f aca="false">SUM(Allen!N29,Mike!N29,Jonah!N29,Jarren!N29,Chance!N29,'Jonathan Mach'!N29,Zach!N29,Hayden!N29,Kyle!N29,'Jonathan Mather'!N29,Cameron!N29,Emmet!N29,Jackson!N29,Khai!N29,'Mario Q'!N29,Aaron!N29,Ian!N29,Charlie!N29,'Mario S'!N29,David!N29)</f>
        <v>6</v>
      </c>
      <c r="O11" s="34" t="n">
        <f aca="false">SUM(Allen!O29,Mike!O29,Jonah!O29,Jarren!O29,Chance!O29,'Jonathan Mach'!O29,Zach!O29,Hayden!O29,Kyle!O29,'Jonathan Mather'!O29,Cameron!O29,Emmet!O29,Jackson!O29,Khai!O29,'Mario Q'!O29,Aaron!O29,Ian!O29,Charlie!O29,'Mario S'!O29,David!O29)</f>
        <v>4</v>
      </c>
      <c r="P11" s="34" t="n">
        <f aca="false">SUM(Allen!P29,Mike!P29,Jonah!P29,Jarren!P29,Chance!P29,'Jonathan Mach'!P29,Zach!P29,Hayden!P29,Kyle!P29,'Jonathan Mather'!P29,Cameron!P29,Emmet!P29,Jackson!P29,Khai!P29,'Mario Q'!P29,Aaron!P29,Ian!P29,Charlie!P29,'Mario S'!P29,David!P29)</f>
        <v>3</v>
      </c>
      <c r="Q11" s="34" t="n">
        <f aca="false">SUM(Allen!Q29,Mike!Q29,Jonah!Q29,Jarren!Q29,Chance!Q29,'Jonathan Mach'!Q29,Zach!Q29,Hayden!Q29,Kyle!Q29,'Jonathan Mather'!Q29,Cameron!Q29,Emmet!Q29,Jackson!Q29,Khai!Q29,'Mario Q'!Q29,Aaron!Q29,Ian!Q29,Charlie!Q29,'Mario S'!Q29,David!Q29)</f>
        <v>3</v>
      </c>
      <c r="R11" s="34" t="n">
        <f aca="false">SUM(Allen!R29,Mike!R29,Jonah!R29,Jarren!R29,Chance!R29,'Jonathan Mach'!R29,Zach!R29,Hayden!R29,Kyle!R29,'Jonathan Mather'!R29,Cameron!R29,Emmet!R29,Jackson!R29,Khai!R29,'Mario Q'!R29,Aaron!R29,Ian!R29,Charlie!R29,'Mario S'!R29,David!R29)</f>
        <v>2</v>
      </c>
      <c r="S11" s="34" t="n">
        <f aca="false">SUM(Allen!S29,Mike!S29,Jonah!S29,Jarren!S29,Chance!S29,'Jonathan Mach'!S29,Zach!S29,Hayden!S29,Kyle!S29,'Jonathan Mather'!S29,Cameron!S29,Emmet!S29,Jackson!S29,Khai!S29,'Mario Q'!S29,Aaron!S29,Ian!S29,Charlie!S29,'Mario S'!S29,David!S29)</f>
        <v>1</v>
      </c>
      <c r="T11" s="34" t="n">
        <f aca="false">SUM(Allen!T29,Mike!T29,Jonah!T29,Jarren!T29,Chance!T29,'Jonathan Mach'!T29,Zach!T29,Hayden!T29,Kyle!T29,'Jonathan Mather'!T29,Cameron!T29,Emmet!T29,Jackson!T29,Khai!T29,'Mario Q'!T29,Aaron!T29,Ian!T29,Charlie!T29,'Mario S'!T29,David!T29)</f>
        <v>1</v>
      </c>
      <c r="U11" s="34" t="n">
        <f aca="false">SUM(Allen!U29,Mike!U29,Jonah!U29,Jarren!U29,Chance!U29,'Jonathan Mach'!U29,Zach!U29,Hayden!U29,Kyle!U29,'Jonathan Mather'!U29,Cameron!U29,Emmet!U29,Jackson!U29,Khai!U29,'Mario Q'!U29,Aaron!U29,Ian!U29,Charlie!U29,'Mario S'!U29,David!U29)</f>
        <v>0</v>
      </c>
      <c r="V11" s="34" t="n">
        <f aca="false">SUM(Allen!V29,Mike!V29,Jonah!V29,Jarren!V29,Chance!V29,'Jonathan Mach'!V29,Zach!V29,Hayden!V29,Kyle!V29,'Jonathan Mather'!V29,Cameron!V29,Emmet!V29,Jackson!V29,Khai!V29,'Mario Q'!V29,Aaron!V29,Ian!V29,Charlie!V29,'Mario S'!V29,David!V29)</f>
        <v>0</v>
      </c>
      <c r="W11" s="34" t="n">
        <f aca="false">SUM(Allen!W29,Mike!W29,Jonah!W29,Jarren!W29,Chance!W29,'Jonathan Mach'!W29,Zach!W29,Hayden!W29,Kyle!W29,'Jonathan Mather'!W29,Cameron!W29,Emmet!W29,Jackson!W29,Khai!W29,'Mario Q'!W29,Aaron!W29,Ian!W29,Charlie!W29,'Mario S'!W29,David!W29)</f>
        <v>0</v>
      </c>
      <c r="X11" s="34" t="n">
        <f aca="false">SUM(Allen!X29,Mike!X29,Jonah!X29,Jarren!X29,Chance!X29,'Jonathan Mach'!X29,Zach!X29,Hayden!X29,Kyle!X29,'Jonathan Mather'!X29,Cameron!X29,Emmet!X29,Jackson!X29,Khai!X29,'Mario Q'!X29,Aaron!X29,Ian!X29,Charlie!X29,'Mario S'!X29,David!X29)</f>
        <v>1</v>
      </c>
      <c r="Y11" s="34" t="n">
        <f aca="false">SUM(Allen!Y29,Mike!Y29,Jonah!Y29,Jarren!Y29,Chance!Y29,'Jonathan Mach'!Y29,Zach!Y29,Hayden!Y29,Kyle!Y29,'Jonathan Mather'!Y29,Cameron!Y29,Emmet!Y29,Jackson!Y29,Khai!Y29,'Mario Q'!Y29,Aaron!Y29,Ian!Y29,Charlie!Y29,'Mario S'!Y29,David!Y29)</f>
        <v>1</v>
      </c>
    </row>
    <row r="12" customFormat="false" ht="15.75" hidden="false" customHeight="true" outlineLevel="0" collapsed="false">
      <c r="A12" s="33" t="s">
        <v>66</v>
      </c>
      <c r="B12" s="34" t="n">
        <f aca="false">SUM(Allen!B30,Mike!B30,Jonah!B30,Jarren!B30,Chance!B30,'Jonathan Mach'!B30,Zach!B30,Hayden!B30,Kyle!B30,'Jonathan Mather'!B30,Cameron!B30,Emmet!B30,Jackson!B30,Khai!B30,'Mario Q'!B30,Aaron!B30,Ian!B30,Charlie!B30,'Mario S'!B30,David!B30)</f>
        <v>3</v>
      </c>
      <c r="C12" s="34" t="n">
        <f aca="false">SUM(Allen!C30,Mike!C30,Jonah!C30,Jarren!C30,Chance!C30,'Jonathan Mach'!C30,Zach!C30,Hayden!C30,Kyle!C30,'Jonathan Mather'!C30,Cameron!C30,Emmet!C30,Jackson!C30,Khai!C30,'Mario Q'!C30,Aaron!C30,Ian!C30,Charlie!C30,'Mario S'!C30,David!C30)</f>
        <v>3</v>
      </c>
      <c r="D12" s="34" t="n">
        <f aca="false">SUM(Allen!D30,Mike!D30,Jonah!D30,Jarren!D30,Chance!D30,'Jonathan Mach'!D30,Zach!D30,Hayden!D30,Kyle!D30,'Jonathan Mather'!D30,Cameron!D30,Emmet!D30,Jackson!D30,Khai!D30,'Mario Q'!D30,Aaron!D30,Ian!D30,Charlie!D30,'Mario S'!D30,David!D30)</f>
        <v>1</v>
      </c>
      <c r="E12" s="34" t="n">
        <f aca="false">SUM(Allen!E30,Mike!E30,Jonah!E30,Jarren!E30,Chance!E30,'Jonathan Mach'!E30,Zach!E30,Hayden!E30,Kyle!E30,'Jonathan Mather'!E30,Cameron!E30,Emmet!E30,Jackson!E30,Khai!E30,'Mario Q'!E30,Aaron!E30,Ian!E30,Charlie!E30,'Mario S'!E30,David!E30)</f>
        <v>1</v>
      </c>
      <c r="F12" s="34" t="n">
        <f aca="false">SUM(Allen!F30,Mike!F30,Jonah!F30,Jarren!F30,Chance!F30,'Jonathan Mach'!F30,Zach!F30,Hayden!F30,Kyle!F30,'Jonathan Mather'!F30,Cameron!F30,Emmet!F30,Jackson!F30,Khai!F30,'Mario Q'!F30,Aaron!F30,Ian!F30,Charlie!F30,'Mario S'!F30,David!F30)</f>
        <v>0</v>
      </c>
      <c r="G12" s="34" t="n">
        <f aca="false">SUM(Allen!G30,Mike!G30,Jonah!G30,Jarren!G30,Chance!G30,'Jonathan Mach'!G30,Zach!G30,Hayden!G30,Kyle!G30,'Jonathan Mather'!G30,Cameron!G30,Emmet!G30,Jackson!G30,Khai!G30,'Mario Q'!G30,Aaron!G30,Ian!G30,Charlie!G30,'Mario S'!G30,David!G30)</f>
        <v>1</v>
      </c>
      <c r="H12" s="34" t="n">
        <f aca="false">SUM(Allen!H30,Mike!H30,Jonah!H30,Jarren!H30,Chance!H30,'Jonathan Mach'!H30,Zach!H30,Hayden!H30,Kyle!H30,'Jonathan Mather'!H30,Cameron!H30,Emmet!H30,Jackson!H30,Khai!H30,'Mario Q'!H30,Aaron!H30,Ian!H30,Charlie!H30,'Mario S'!H30,David!H30)</f>
        <v>6</v>
      </c>
      <c r="I12" s="34" t="n">
        <f aca="false">SUM(Allen!I30,Mike!I30,Jonah!I30,Jarren!I30,Chance!I30,'Jonathan Mach'!I30,Zach!I30,Hayden!I30,Kyle!I30,'Jonathan Mather'!I30,Cameron!I30,Emmet!I30,Jackson!I30,Khai!I30,'Mario Q'!I30,Aaron!I30,Ian!I30,Charlie!I30,'Mario S'!I30,David!I30)</f>
        <v>7</v>
      </c>
      <c r="J12" s="34" t="n">
        <f aca="false">SUM(Allen!J30,Mike!J30,Jonah!J30,Jarren!J30,Chance!J30,'Jonathan Mach'!J30,Zach!J30,Hayden!J30,Kyle!J30,'Jonathan Mather'!J30,Cameron!J30,Emmet!J30,Jackson!J30,Khai!J30,'Mario Q'!J30,Aaron!J30,Ian!J30,Charlie!J30,'Mario S'!J30,David!J30)</f>
        <v>7</v>
      </c>
      <c r="K12" s="34" t="n">
        <f aca="false">SUM(Allen!K30,Mike!K30,Jonah!K30,Jarren!K30,Chance!K30,'Jonathan Mach'!K30,Zach!K30,Hayden!K30,Kyle!K30,'Jonathan Mather'!K30,Cameron!K30,Emmet!K30,Jackson!K30,Khai!K30,'Mario Q'!K30,Aaron!K30,Ian!K30,Charlie!K30,'Mario S'!K30,David!K30)</f>
        <v>7</v>
      </c>
      <c r="L12" s="34" t="n">
        <f aca="false">SUM(Allen!L30,Mike!L30,Jonah!L30,Jarren!L30,Chance!L30,'Jonathan Mach'!L30,Zach!L30,Hayden!L30,Kyle!L30,'Jonathan Mather'!L30,Cameron!L30,Emmet!L30,Jackson!L30,Khai!L30,'Mario Q'!L30,Aaron!L30,Ian!L30,Charlie!L30,'Mario S'!L30,David!L30)</f>
        <v>9</v>
      </c>
      <c r="M12" s="34" t="n">
        <f aca="false">SUM(Allen!M30,Mike!M30,Jonah!M30,Jarren!M30,Chance!M30,'Jonathan Mach'!M30,Zach!M30,Hayden!M30,Kyle!M30,'Jonathan Mather'!M30,Cameron!M30,Emmet!M30,Jackson!M30,Khai!M30,'Mario Q'!M30,Aaron!M30,Ian!M30,Charlie!M30,'Mario S'!M30,David!M30)</f>
        <v>9</v>
      </c>
      <c r="N12" s="34" t="n">
        <f aca="false">SUM(Allen!N30,Mike!N30,Jonah!N30,Jarren!N30,Chance!N30,'Jonathan Mach'!N30,Zach!N30,Hayden!N30,Kyle!N30,'Jonathan Mather'!N30,Cameron!N30,Emmet!N30,Jackson!N30,Khai!N30,'Mario Q'!N30,Aaron!N30,Ian!N30,Charlie!N30,'Mario S'!N30,David!N30)</f>
        <v>10</v>
      </c>
      <c r="O12" s="34" t="n">
        <f aca="false">SUM(Allen!O30,Mike!O30,Jonah!O30,Jarren!O30,Chance!O30,'Jonathan Mach'!O30,Zach!O30,Hayden!O30,Kyle!O30,'Jonathan Mather'!O30,Cameron!O30,Emmet!O30,Jackson!O30,Khai!O30,'Mario Q'!O30,Aaron!O30,Ian!O30,Charlie!O30,'Mario S'!O30,David!O30)</f>
        <v>6</v>
      </c>
      <c r="P12" s="34" t="n">
        <f aca="false">SUM(Allen!P30,Mike!P30,Jonah!P30,Jarren!P30,Chance!P30,'Jonathan Mach'!P30,Zach!P30,Hayden!P30,Kyle!P30,'Jonathan Mather'!P30,Cameron!P30,Emmet!P30,Jackson!P30,Khai!P30,'Mario Q'!P30,Aaron!P30,Ian!P30,Charlie!P30,'Mario S'!P30,David!P30)</f>
        <v>5</v>
      </c>
      <c r="Q12" s="34" t="n">
        <f aca="false">SUM(Allen!Q30,Mike!Q30,Jonah!Q30,Jarren!Q30,Chance!Q30,'Jonathan Mach'!Q30,Zach!Q30,Hayden!Q30,Kyle!Q30,'Jonathan Mather'!Q30,Cameron!Q30,Emmet!Q30,Jackson!Q30,Khai!Q30,'Mario Q'!Q30,Aaron!Q30,Ian!Q30,Charlie!Q30,'Mario S'!Q30,David!Q30)</f>
        <v>4</v>
      </c>
      <c r="R12" s="34" t="n">
        <f aca="false">SUM(Allen!R30,Mike!R30,Jonah!R30,Jarren!R30,Chance!R30,'Jonathan Mach'!R30,Zach!R30,Hayden!R30,Kyle!R30,'Jonathan Mather'!R30,Cameron!R30,Emmet!R30,Jackson!R30,Khai!R30,'Mario Q'!R30,Aaron!R30,Ian!R30,Charlie!R30,'Mario S'!R30,David!R30)</f>
        <v>6</v>
      </c>
      <c r="S12" s="34" t="n">
        <f aca="false">SUM(Allen!S30,Mike!S30,Jonah!S30,Jarren!S30,Chance!S30,'Jonathan Mach'!S30,Zach!S30,Hayden!S30,Kyle!S30,'Jonathan Mather'!S30,Cameron!S30,Emmet!S30,Jackson!S30,Khai!S30,'Mario Q'!S30,Aaron!S30,Ian!S30,Charlie!S30,'Mario S'!S30,David!S30)</f>
        <v>6</v>
      </c>
      <c r="T12" s="34" t="n">
        <f aca="false">SUM(Allen!T30,Mike!T30,Jonah!T30,Jarren!T30,Chance!T30,'Jonathan Mach'!T30,Zach!T30,Hayden!T30,Kyle!T30,'Jonathan Mather'!T30,Cameron!T30,Emmet!T30,Jackson!T30,Khai!T30,'Mario Q'!T30,Aaron!T30,Ian!T30,Charlie!T30,'Mario S'!T30,David!T30)</f>
        <v>4</v>
      </c>
      <c r="U12" s="34" t="n">
        <f aca="false">SUM(Allen!U30,Mike!U30,Jonah!U30,Jarren!U30,Chance!U30,'Jonathan Mach'!U30,Zach!U30,Hayden!U30,Kyle!U30,'Jonathan Mather'!U30,Cameron!U30,Emmet!U30,Jackson!U30,Khai!U30,'Mario Q'!U30,Aaron!U30,Ian!U30,Charlie!U30,'Mario S'!U30,David!U30)</f>
        <v>3</v>
      </c>
      <c r="V12" s="34" t="n">
        <f aca="false">SUM(Allen!V30,Mike!V30,Jonah!V30,Jarren!V30,Chance!V30,'Jonathan Mach'!V30,Zach!V30,Hayden!V30,Kyle!V30,'Jonathan Mather'!V30,Cameron!V30,Emmet!V30,Jackson!V30,Khai!V30,'Mario Q'!V30,Aaron!V30,Ian!V30,Charlie!V30,'Mario S'!V30,David!V30)</f>
        <v>1</v>
      </c>
      <c r="W12" s="34" t="n">
        <f aca="false">SUM(Allen!W30,Mike!W30,Jonah!W30,Jarren!W30,Chance!W30,'Jonathan Mach'!W30,Zach!W30,Hayden!W30,Kyle!W30,'Jonathan Mather'!W30,Cameron!W30,Emmet!W30,Jackson!W30,Khai!W30,'Mario Q'!W30,Aaron!W30,Ian!W30,Charlie!W30,'Mario S'!W30,David!W30)</f>
        <v>1</v>
      </c>
      <c r="X12" s="34" t="n">
        <f aca="false">SUM(Allen!X30,Mike!X30,Jonah!X30,Jarren!X30,Chance!X30,'Jonathan Mach'!X30,Zach!X30,Hayden!X30,Kyle!X30,'Jonathan Mather'!X30,Cameron!X30,Emmet!X30,Jackson!X30,Khai!X30,'Mario Q'!X30,Aaron!X30,Ian!X30,Charlie!X30,'Mario S'!X30,David!X30)</f>
        <v>2</v>
      </c>
      <c r="Y12" s="34" t="n">
        <f aca="false">SUM(Allen!Y30,Mike!Y30,Jonah!Y30,Jarren!Y30,Chance!Y30,'Jonathan Mach'!Y30,Zach!Y30,Hayden!Y30,Kyle!Y30,'Jonathan Mather'!Y30,Cameron!Y30,Emmet!Y30,Jackson!Y30,Khai!Y30,'Mario Q'!Y30,Aaron!Y30,Ian!Y30,Charlie!Y30,'Mario S'!Y30,David!Y30)</f>
        <v>2</v>
      </c>
    </row>
    <row r="13" customFormat="false" ht="15.75" hidden="false" customHeight="true" outlineLevel="0" collapsed="false">
      <c r="A13" s="33" t="s">
        <v>73</v>
      </c>
      <c r="B13" s="34" t="n">
        <f aca="false">SUM(Allen!B31,Mike!B31,Jonah!B31,Jarren!B31,Chance!B31,'Jonathan Mach'!B31,Zach!B31,Hayden!B31,Kyle!B31,'Jonathan Mather'!B31,Cameron!B31,Emmet!B31,Jackson!B31,Khai!B31,'Mario Q'!B31,Aaron!B31,Ian!B31,Charlie!B31,'Mario S'!B31,David!B31)</f>
        <v>3</v>
      </c>
      <c r="C13" s="34" t="n">
        <f aca="false">SUM(Allen!C31,Mike!C31,Jonah!C31,Jarren!C31,Chance!C31,'Jonathan Mach'!C31,Zach!C31,Hayden!C31,Kyle!C31,'Jonathan Mather'!C31,Cameron!C31,Emmet!C31,Jackson!C31,Khai!C31,'Mario Q'!C31,Aaron!C31,Ian!C31,Charlie!C31,'Mario S'!C31,David!C31)</f>
        <v>3</v>
      </c>
      <c r="D13" s="34" t="n">
        <f aca="false">SUM(Allen!D31,Mike!D31,Jonah!D31,Jarren!D31,Chance!D31,'Jonathan Mach'!D31,Zach!D31,Hayden!D31,Kyle!D31,'Jonathan Mather'!D31,Cameron!D31,Emmet!D31,Jackson!D31,Khai!D31,'Mario Q'!D31,Aaron!D31,Ian!D31,Charlie!D31,'Mario S'!D31,David!D31)</f>
        <v>5</v>
      </c>
      <c r="E13" s="34" t="n">
        <f aca="false">SUM(Allen!E31,Mike!E31,Jonah!E31,Jarren!E31,Chance!E31,'Jonathan Mach'!E31,Zach!E31,Hayden!E31,Kyle!E31,'Jonathan Mather'!E31,Cameron!E31,Emmet!E31,Jackson!E31,Khai!E31,'Mario Q'!E31,Aaron!E31,Ian!E31,Charlie!E31,'Mario S'!E31,David!E31)</f>
        <v>5</v>
      </c>
      <c r="F13" s="34" t="n">
        <f aca="false">SUM(Allen!F31,Mike!F31,Jonah!F31,Jarren!F31,Chance!F31,'Jonathan Mach'!F31,Zach!F31,Hayden!F31,Kyle!F31,'Jonathan Mather'!F31,Cameron!F31,Emmet!F31,Jackson!F31,Khai!F31,'Mario Q'!F31,Aaron!F31,Ian!F31,Charlie!F31,'Mario S'!F31,David!F31)</f>
        <v>3</v>
      </c>
      <c r="G13" s="34" t="n">
        <f aca="false">SUM(Allen!G31,Mike!G31,Jonah!G31,Jarren!G31,Chance!G31,'Jonathan Mach'!G31,Zach!G31,Hayden!G31,Kyle!G31,'Jonathan Mather'!G31,Cameron!G31,Emmet!G31,Jackson!G31,Khai!G31,'Mario Q'!G31,Aaron!G31,Ian!G31,Charlie!G31,'Mario S'!G31,David!G31)</f>
        <v>2</v>
      </c>
      <c r="H13" s="34" t="n">
        <f aca="false">SUM(Allen!H31,Mike!H31,Jonah!H31,Jarren!H31,Chance!H31,'Jonathan Mach'!H31,Zach!H31,Hayden!H31,Kyle!H31,'Jonathan Mather'!H31,Cameron!H31,Emmet!H31,Jackson!H31,Khai!H31,'Mario Q'!H31,Aaron!H31,Ian!H31,Charlie!H31,'Mario S'!H31,David!H31)</f>
        <v>1</v>
      </c>
      <c r="I13" s="34" t="n">
        <f aca="false">SUM(Allen!I31,Mike!I31,Jonah!I31,Jarren!I31,Chance!I31,'Jonathan Mach'!I31,Zach!I31,Hayden!I31,Kyle!I31,'Jonathan Mather'!I31,Cameron!I31,Emmet!I31,Jackson!I31,Khai!I31,'Mario Q'!I31,Aaron!I31,Ian!I31,Charlie!I31,'Mario S'!I31,David!I31)</f>
        <v>2</v>
      </c>
      <c r="J13" s="34" t="n">
        <f aca="false">SUM(Allen!J31,Mike!J31,Jonah!J31,Jarren!J31,Chance!J31,'Jonathan Mach'!J31,Zach!J31,Hayden!J31,Kyle!J31,'Jonathan Mather'!J31,Cameron!J31,Emmet!J31,Jackson!J31,Khai!J31,'Mario Q'!J31,Aaron!J31,Ian!J31,Charlie!J31,'Mario S'!J31,David!J31)</f>
        <v>2</v>
      </c>
      <c r="K13" s="34" t="n">
        <f aca="false">SUM(Allen!K31,Mike!K31,Jonah!K31,Jarren!K31,Chance!K31,'Jonathan Mach'!K31,Zach!K31,Hayden!K31,Kyle!K31,'Jonathan Mather'!K31,Cameron!K31,Emmet!K31,Jackson!K31,Khai!K31,'Mario Q'!K31,Aaron!K31,Ian!K31,Charlie!K31,'Mario S'!K31,David!K31)</f>
        <v>1</v>
      </c>
      <c r="L13" s="34" t="n">
        <f aca="false">SUM(Allen!L31,Mike!L31,Jonah!L31,Jarren!L31,Chance!L31,'Jonathan Mach'!L31,Zach!L31,Hayden!L31,Kyle!L31,'Jonathan Mather'!L31,Cameron!L31,Emmet!L31,Jackson!L31,Khai!L31,'Mario Q'!L31,Aaron!L31,Ian!L31,Charlie!L31,'Mario S'!L31,David!L31)</f>
        <v>4</v>
      </c>
      <c r="M13" s="34" t="n">
        <f aca="false">SUM(Allen!M31,Mike!M31,Jonah!M31,Jarren!M31,Chance!M31,'Jonathan Mach'!M31,Zach!M31,Hayden!M31,Kyle!M31,'Jonathan Mather'!M31,Cameron!M31,Emmet!M31,Jackson!M31,Khai!M31,'Mario Q'!M31,Aaron!M31,Ian!M31,Charlie!M31,'Mario S'!M31,David!M31)</f>
        <v>4</v>
      </c>
      <c r="N13" s="34" t="n">
        <f aca="false">SUM(Allen!N31,Mike!N31,Jonah!N31,Jarren!N31,Chance!N31,'Jonathan Mach'!N31,Zach!N31,Hayden!N31,Kyle!N31,'Jonathan Mather'!N31,Cameron!N31,Emmet!N31,Jackson!N31,Khai!N31,'Mario Q'!N31,Aaron!N31,Ian!N31,Charlie!N31,'Mario S'!N31,David!N31)</f>
        <v>5</v>
      </c>
      <c r="O13" s="34" t="n">
        <f aca="false">SUM(Allen!O31,Mike!O31,Jonah!O31,Jarren!O31,Chance!O31,'Jonathan Mach'!O31,Zach!O31,Hayden!O31,Kyle!O31,'Jonathan Mather'!O31,Cameron!O31,Emmet!O31,Jackson!O31,Khai!O31,'Mario Q'!O31,Aaron!O31,Ian!O31,Charlie!O31,'Mario S'!O31,David!O31)</f>
        <v>4</v>
      </c>
      <c r="P13" s="34" t="n">
        <f aca="false">SUM(Allen!P31,Mike!P31,Jonah!P31,Jarren!P31,Chance!P31,'Jonathan Mach'!P31,Zach!P31,Hayden!P31,Kyle!P31,'Jonathan Mather'!P31,Cameron!P31,Emmet!P31,Jackson!P31,Khai!P31,'Mario Q'!P31,Aaron!P31,Ian!P31,Charlie!P31,'Mario S'!P31,David!P31)</f>
        <v>3</v>
      </c>
      <c r="Q13" s="34" t="n">
        <f aca="false">SUM(Allen!Q31,Mike!Q31,Jonah!Q31,Jarren!Q31,Chance!Q31,'Jonathan Mach'!Q31,Zach!Q31,Hayden!Q31,Kyle!Q31,'Jonathan Mather'!Q31,Cameron!Q31,Emmet!Q31,Jackson!Q31,Khai!Q31,'Mario Q'!Q31,Aaron!Q31,Ian!Q31,Charlie!Q31,'Mario S'!Q31,David!Q31)</f>
        <v>3</v>
      </c>
      <c r="R13" s="34" t="n">
        <f aca="false">SUM(Allen!R31,Mike!R31,Jonah!R31,Jarren!R31,Chance!R31,'Jonathan Mach'!R31,Zach!R31,Hayden!R31,Kyle!R31,'Jonathan Mather'!R31,Cameron!R31,Emmet!R31,Jackson!R31,Khai!R31,'Mario Q'!R31,Aaron!R31,Ian!R31,Charlie!R31,'Mario S'!R31,David!R31)</f>
        <v>3</v>
      </c>
      <c r="S13" s="34" t="n">
        <f aca="false">SUM(Allen!S31,Mike!S31,Jonah!S31,Jarren!S31,Chance!S31,'Jonathan Mach'!S31,Zach!S31,Hayden!S31,Kyle!S31,'Jonathan Mather'!S31,Cameron!S31,Emmet!S31,Jackson!S31,Khai!S31,'Mario Q'!S31,Aaron!S31,Ian!S31,Charlie!S31,'Mario S'!S31,David!S31)</f>
        <v>2</v>
      </c>
      <c r="T13" s="34" t="n">
        <f aca="false">SUM(Allen!T31,Mike!T31,Jonah!T31,Jarren!T31,Chance!T31,'Jonathan Mach'!T31,Zach!T31,Hayden!T31,Kyle!T31,'Jonathan Mather'!T31,Cameron!T31,Emmet!T31,Jackson!T31,Khai!T31,'Mario Q'!T31,Aaron!T31,Ian!T31,Charlie!T31,'Mario S'!T31,David!T31)</f>
        <v>3</v>
      </c>
      <c r="U13" s="34" t="n">
        <f aca="false">SUM(Allen!U31,Mike!U31,Jonah!U31,Jarren!U31,Chance!U31,'Jonathan Mach'!U31,Zach!U31,Hayden!U31,Kyle!U31,'Jonathan Mather'!U31,Cameron!U31,Emmet!U31,Jackson!U31,Khai!U31,'Mario Q'!U31,Aaron!U31,Ian!U31,Charlie!U31,'Mario S'!U31,David!U31)</f>
        <v>2</v>
      </c>
      <c r="V13" s="38"/>
      <c r="W13" s="38"/>
      <c r="X13" s="38"/>
      <c r="Y13" s="38"/>
    </row>
    <row r="14" customFormat="false" ht="15.75" hidden="false" customHeight="true" outlineLevel="0" collapsed="false">
      <c r="A14" s="33" t="s">
        <v>75</v>
      </c>
      <c r="B14" s="34" t="n">
        <f aca="false">SUM(Allen!B32,Mike!B32,Jonah!B32,Jarren!B32,Chance!B32,'Jonathan Mach'!B32,Zach!B32,Hayden!B32,Kyle!B32,'Jonathan Mather'!B32,Cameron!B32,Emmet!B32,Jackson!B32,Khai!B32,'Mario Q'!B32,Aaron!B32,Ian!B32,Charlie!B32,'Mario S'!B32,David!B32)</f>
        <v>3</v>
      </c>
      <c r="C14" s="34" t="n">
        <f aca="false">SUM(Allen!C32,Mike!C32,Jonah!C32,Jarren!C32,Chance!C32,'Jonathan Mach'!C32,Zach!C32,Hayden!C32,Kyle!C32,'Jonathan Mather'!C32,Cameron!C32,Emmet!C32,Jackson!C32,Khai!C32,'Mario Q'!C32,Aaron!C32,Ian!C32,Charlie!C32,'Mario S'!C32,David!C32)</f>
        <v>3</v>
      </c>
      <c r="D14" s="34" t="n">
        <f aca="false">SUM(Allen!D32,Mike!D32,Jonah!D32,Jarren!D32,Chance!D32,'Jonathan Mach'!D32,Zach!D32,Hayden!D32,Kyle!D32,'Jonathan Mather'!D32,Cameron!D32,Emmet!D32,Jackson!D32,Khai!D32,'Mario Q'!D32,Aaron!D32,Ian!D32,Charlie!D32,'Mario S'!D32,David!D32)</f>
        <v>1</v>
      </c>
      <c r="E14" s="34" t="n">
        <f aca="false">SUM(Allen!E32,Mike!E32,Jonah!E32,Jarren!E32,Chance!E32,'Jonathan Mach'!E32,Zach!E32,Hayden!E32,Kyle!E32,'Jonathan Mather'!E32,Cameron!E32,Emmet!E32,Jackson!E32,Khai!E32,'Mario Q'!E32,Aaron!E32,Ian!E32,Charlie!E32,'Mario S'!E32,David!E32)</f>
        <v>1</v>
      </c>
      <c r="F14" s="34" t="n">
        <f aca="false">SUM(Allen!F32,Mike!F32,Jonah!F32,Jarren!F32,Chance!F32,'Jonathan Mach'!F32,Zach!F32,Hayden!F32,Kyle!F32,'Jonathan Mather'!F32,Cameron!F32,Emmet!F32,Jackson!F32,Khai!F32,'Mario Q'!F32,Aaron!F32,Ian!F32,Charlie!F32,'Mario S'!F32,David!F32)</f>
        <v>0</v>
      </c>
      <c r="G14" s="34" t="n">
        <f aca="false">SUM(Allen!G32,Mike!G32,Jonah!G32,Jarren!G32,Chance!G32,'Jonathan Mach'!G32,Zach!G32,Hayden!G32,Kyle!G32,'Jonathan Mather'!G32,Cameron!G32,Emmet!G32,Jackson!G32,Khai!G32,'Mario Q'!G32,Aaron!G32,Ian!G32,Charlie!G32,'Mario S'!G32,David!G32)</f>
        <v>1</v>
      </c>
      <c r="H14" s="34" t="n">
        <f aca="false">SUM(Allen!H32,Mike!H32,Jonah!H32,Jarren!H32,Chance!H32,'Jonathan Mach'!H32,Zach!H32,Hayden!H32,Kyle!H32,'Jonathan Mather'!H32,Cameron!H32,Emmet!H32,Jackson!H32,Khai!H32,'Mario Q'!H32,Aaron!H32,Ian!H32,Charlie!H32,'Mario S'!H32,David!H32)</f>
        <v>5</v>
      </c>
      <c r="I14" s="34" t="n">
        <f aca="false">SUM(Allen!I32,Mike!I32,Jonah!I32,Jarren!I32,Chance!I32,'Jonathan Mach'!I32,Zach!I32,Hayden!I32,Kyle!I32,'Jonathan Mather'!I32,Cameron!I32,Emmet!I32,Jackson!I32,Khai!I32,'Mario Q'!I32,Aaron!I32,Ian!I32,Charlie!I32,'Mario S'!I32,David!I32)</f>
        <v>5</v>
      </c>
      <c r="J14" s="34" t="n">
        <f aca="false">SUM(Allen!J32,Mike!J32,Jonah!J32,Jarren!J32,Chance!J32,'Jonathan Mach'!J32,Zach!J32,Hayden!J32,Kyle!J32,'Jonathan Mather'!J32,Cameron!J32,Emmet!J32,Jackson!J32,Khai!J32,'Mario Q'!J32,Aaron!J32,Ian!J32,Charlie!J32,'Mario S'!J32,David!J32)</f>
        <v>5</v>
      </c>
      <c r="K14" s="34" t="n">
        <f aca="false">SUM(Allen!K32,Mike!K32,Jonah!K32,Jarren!K32,Chance!K32,'Jonathan Mach'!K32,Zach!K32,Hayden!K32,Kyle!K32,'Jonathan Mather'!K32,Cameron!K32,Emmet!K32,Jackson!K32,Khai!K32,'Mario Q'!K32,Aaron!K32,Ian!K32,Charlie!K32,'Mario S'!K32,David!K32)</f>
        <v>5</v>
      </c>
      <c r="L14" s="34" t="n">
        <f aca="false">SUM(Allen!L32,Mike!L32,Jonah!L32,Jarren!L32,Chance!L32,'Jonathan Mach'!L32,Zach!L32,Hayden!L32,Kyle!L32,'Jonathan Mather'!L32,Cameron!L32,Emmet!L32,Jackson!L32,Khai!L32,'Mario Q'!L32,Aaron!L32,Ian!L32,Charlie!L32,'Mario S'!L32,David!L32)</f>
        <v>6</v>
      </c>
      <c r="M14" s="34" t="n">
        <f aca="false">SUM(Allen!M32,Mike!M32,Jonah!M32,Jarren!M32,Chance!M32,'Jonathan Mach'!M32,Zach!M32,Hayden!M32,Kyle!M32,'Jonathan Mather'!M32,Cameron!M32,Emmet!M32,Jackson!M32,Khai!M32,'Mario Q'!M32,Aaron!M32,Ian!M32,Charlie!M32,'Mario S'!M32,David!M32)</f>
        <v>6</v>
      </c>
      <c r="N14" s="34" t="n">
        <f aca="false">SUM(Allen!N32,Mike!N32,Jonah!N32,Jarren!N32,Chance!N32,'Jonathan Mach'!N32,Zach!N32,Hayden!N32,Kyle!N32,'Jonathan Mather'!N32,Cameron!N32,Emmet!N32,Jackson!N32,Khai!N32,'Mario Q'!N32,Aaron!N32,Ian!N32,Charlie!N32,'Mario S'!N32,David!N32)</f>
        <v>8</v>
      </c>
      <c r="O14" s="34" t="n">
        <f aca="false">SUM(Allen!O32,Mike!O32,Jonah!O32,Jarren!O32,Chance!O32,'Jonathan Mach'!O32,Zach!O32,Hayden!O32,Kyle!O32,'Jonathan Mather'!O32,Cameron!O32,Emmet!O32,Jackson!O32,Khai!O32,'Mario Q'!O32,Aaron!O32,Ian!O32,Charlie!O32,'Mario S'!O32,David!O32)</f>
        <v>4</v>
      </c>
      <c r="P14" s="34" t="n">
        <f aca="false">SUM(Allen!P32,Mike!P32,Jonah!P32,Jarren!P32,Chance!P32,'Jonathan Mach'!P32,Zach!P32,Hayden!P32,Kyle!P32,'Jonathan Mather'!P32,Cameron!P32,Emmet!P32,Jackson!P32,Khai!P32,'Mario Q'!P32,Aaron!P32,Ian!P32,Charlie!P32,'Mario S'!P32,David!P32)</f>
        <v>4</v>
      </c>
      <c r="Q14" s="34" t="n">
        <f aca="false">SUM(Allen!Q32,Mike!Q32,Jonah!Q32,Jarren!Q32,Chance!Q32,'Jonathan Mach'!Q32,Zach!Q32,Hayden!Q32,Kyle!Q32,'Jonathan Mather'!Q32,Cameron!Q32,Emmet!Q32,Jackson!Q32,Khai!Q32,'Mario Q'!Q32,Aaron!Q32,Ian!Q32,Charlie!Q32,'Mario S'!Q32,David!Q32)</f>
        <v>4</v>
      </c>
      <c r="R14" s="34" t="n">
        <f aca="false">SUM(Allen!R32,Mike!R32,Jonah!R32,Jarren!R32,Chance!R32,'Jonathan Mach'!R32,Zach!R32,Hayden!R32,Kyle!R32,'Jonathan Mather'!R32,Cameron!R32,Emmet!R32,Jackson!R32,Khai!R32,'Mario Q'!R32,Aaron!R32,Ian!R32,Charlie!R32,'Mario S'!R32,David!R32)</f>
        <v>6</v>
      </c>
      <c r="S14" s="34" t="n">
        <f aca="false">SUM(Allen!S32,Mike!S32,Jonah!S32,Jarren!S32,Chance!S32,'Jonathan Mach'!S32,Zach!S32,Hayden!S32,Kyle!S32,'Jonathan Mather'!S32,Cameron!S32,Emmet!S32,Jackson!S32,Khai!S32,'Mario Q'!S32,Aaron!S32,Ian!S32,Charlie!S32,'Mario S'!S32,David!S32)</f>
        <v>6</v>
      </c>
      <c r="T14" s="34" t="n">
        <f aca="false">SUM(Allen!T32,Mike!T32,Jonah!T32,Jarren!T32,Chance!T32,'Jonathan Mach'!T32,Zach!T32,Hayden!T32,Kyle!T32,'Jonathan Mather'!T32,Cameron!T32,Emmet!T32,Jackson!T32,Khai!T32,'Mario Q'!T32,Aaron!T32,Ian!T32,Charlie!T32,'Mario S'!T32,David!T32)</f>
        <v>4</v>
      </c>
      <c r="U14" s="34" t="n">
        <f aca="false">SUM(Allen!U32,Mike!U32,Jonah!U32,Jarren!U32,Chance!U32,'Jonathan Mach'!U32,Zach!U32,Hayden!U32,Kyle!U32,'Jonathan Mather'!U32,Cameron!U32,Emmet!U32,Jackson!U32,Khai!U32,'Mario Q'!U32,Aaron!U32,Ian!U32,Charlie!U32,'Mario S'!U32,David!U32)</f>
        <v>3</v>
      </c>
      <c r="V14" s="34" t="n">
        <f aca="false">SUM(Allen!V32,Mike!V32,Jonah!V32,Jarren!V32,Chance!V32,'Jonathan Mach'!V32,Zach!V32,Hayden!V32,Kyle!V32,'Jonathan Mather'!V32,Cameron!V32,Emmet!V32,Jackson!V32,Khai!V32,'Mario Q'!V32,Aaron!V32,Ian!V32,Charlie!V32,'Mario S'!V32,David!V32)</f>
        <v>1</v>
      </c>
      <c r="W14" s="34" t="n">
        <f aca="false">SUM(Allen!W32,Mike!W32,Jonah!W32,Jarren!W32,Chance!W32,'Jonathan Mach'!W32,Zach!W32,Hayden!W32,Kyle!W32,'Jonathan Mather'!W32,Cameron!W32,Emmet!W32,Jackson!W32,Khai!W32,'Mario Q'!W32,Aaron!W32,Ian!W32,Charlie!W32,'Mario S'!W32,David!W32)</f>
        <v>1</v>
      </c>
      <c r="X14" s="34" t="n">
        <f aca="false">SUM(Allen!X32,Mike!X32,Jonah!X32,Jarren!X32,Chance!X32,'Jonathan Mach'!X32,Zach!X32,Hayden!X32,Kyle!X32,'Jonathan Mather'!X32,Cameron!X32,Emmet!X32,Jackson!X32,Khai!X32,'Mario Q'!X32,Aaron!X32,Ian!X32,Charlie!X32,'Mario S'!X32,David!X32)</f>
        <v>1</v>
      </c>
      <c r="Y14" s="34" t="n">
        <f aca="false">SUM(Allen!Y32,Mike!Y32,Jonah!Y32,Jarren!Y32,Chance!Y32,'Jonathan Mach'!Y32,Zach!Y32,Hayden!Y32,Kyle!Y32,'Jonathan Mather'!Y32,Cameron!Y32,Emmet!Y32,Jackson!Y32,Khai!Y32,'Mario Q'!Y32,Aaron!Y32,Ian!Y32,Charlie!Y32,'Mario S'!Y32,David!Y32)</f>
        <v>1</v>
      </c>
    </row>
    <row r="15" customFormat="false" ht="15.75" hidden="false" customHeight="true" outlineLevel="0" collapsed="false">
      <c r="A15" s="33" t="s">
        <v>76</v>
      </c>
      <c r="B15" s="34" t="n">
        <f aca="false">SUM(Allen!B33,Mike!B33,Jonah!B33,Jarren!B33,Chance!B33,'Jonathan Mach'!B33,Zach!B33,Hayden!B33,Kyle!B33,'Jonathan Mather'!B33,Cameron!B33,Emmet!B33,Jackson!B33,Khai!B33,'Mario Q'!B33,Aaron!B33,Ian!B33,Charlie!B33,'Mario S'!B33,David!B33)</f>
        <v>3</v>
      </c>
      <c r="C15" s="34" t="n">
        <f aca="false">SUM(Allen!C33,Mike!C33,Jonah!C33,Jarren!C33,Chance!C33,'Jonathan Mach'!C33,Zach!C33,Hayden!C33,Kyle!C33,'Jonathan Mather'!C33,Cameron!C33,Emmet!C33,Jackson!C33,Khai!C33,'Mario Q'!C33,Aaron!C33,Ian!C33,Charlie!C33,'Mario S'!C33,David!C33)</f>
        <v>3</v>
      </c>
      <c r="D15" s="34" t="n">
        <f aca="false">SUM(Allen!D33,Mike!D33,Jonah!D33,Jarren!D33,Chance!D33,'Jonathan Mach'!D33,Zach!D33,Hayden!D33,Kyle!D33,'Jonathan Mather'!D33,Cameron!D33,Emmet!D33,Jackson!D33,Khai!D33,'Mario Q'!D33,Aaron!D33,Ian!D33,Charlie!D33,'Mario S'!D33,David!D33)</f>
        <v>3</v>
      </c>
      <c r="E15" s="34" t="n">
        <f aca="false">SUM(Allen!E33,Mike!E33,Jonah!E33,Jarren!E33,Chance!E33,'Jonathan Mach'!E33,Zach!E33,Hayden!E33,Kyle!E33,'Jonathan Mather'!E33,Cameron!E33,Emmet!E33,Jackson!E33,Khai!E33,'Mario Q'!E33,Aaron!E33,Ian!E33,Charlie!E33,'Mario S'!E33,David!E33)</f>
        <v>3</v>
      </c>
      <c r="F15" s="34" t="n">
        <f aca="false">SUM(Allen!F33,Mike!F33,Jonah!F33,Jarren!F33,Chance!F33,'Jonathan Mach'!F33,Zach!F33,Hayden!F33,Kyle!F33,'Jonathan Mather'!F33,Cameron!F33,Emmet!F33,Jackson!F33,Khai!F33,'Mario Q'!F33,Aaron!F33,Ian!F33,Charlie!F33,'Mario S'!F33,David!F33)</f>
        <v>3</v>
      </c>
      <c r="G15" s="34" t="n">
        <f aca="false">SUM(Allen!G33,Mike!G33,Jonah!G33,Jarren!G33,Chance!G33,'Jonathan Mach'!G33,Zach!G33,Hayden!G33,Kyle!G33,'Jonathan Mather'!G33,Cameron!G33,Emmet!G33,Jackson!G33,Khai!G33,'Mario Q'!G33,Aaron!G33,Ian!G33,Charlie!G33,'Mario S'!G33,David!G33)</f>
        <v>3</v>
      </c>
      <c r="H15" s="38"/>
      <c r="I15" s="38"/>
      <c r="J15" s="38"/>
      <c r="K15" s="38"/>
      <c r="L15" s="34" t="n">
        <f aca="false">SUM(Allen!L33,Mike!L33,Jonah!L33,Jarren!L33,Chance!L33,'Jonathan Mach'!L33,Zach!L33,Hayden!L33,Kyle!L33,'Jonathan Mather'!L33,Cameron!L33,Emmet!L33,Jackson!L33,Khai!L33,'Mario Q'!L33,Aaron!L33,Ian!L33,Charlie!L33,'Mario S'!L33,David!L33)</f>
        <v>3</v>
      </c>
      <c r="M15" s="34" t="n">
        <f aca="false">SUM(Allen!M33,Mike!M33,Jonah!M33,Jarren!M33,Chance!M33,'Jonathan Mach'!M33,Zach!M33,Hayden!M33,Kyle!M33,'Jonathan Mather'!M33,Cameron!M33,Emmet!M33,Jackson!M33,Khai!M33,'Mario Q'!M33,Aaron!M33,Ian!M33,Charlie!M33,'Mario S'!M33,David!M33)</f>
        <v>3</v>
      </c>
      <c r="N15" s="34" t="n">
        <f aca="false">SUM(Allen!N33,Mike!N33,Jonah!N33,Jarren!N33,Chance!N33,'Jonathan Mach'!N33,Zach!N33,Hayden!N33,Kyle!N33,'Jonathan Mather'!N33,Cameron!N33,Emmet!N33,Jackson!N33,Khai!N33,'Mario Q'!N33,Aaron!N33,Ian!N33,Charlie!N33,'Mario S'!N33,David!N33)</f>
        <v>3</v>
      </c>
      <c r="O15" s="34" t="n">
        <f aca="false">SUM(Allen!O33,Mike!O33,Jonah!O33,Jarren!O33,Chance!O33,'Jonathan Mach'!O33,Zach!O33,Hayden!O33,Kyle!O33,'Jonathan Mather'!O33,Cameron!O33,Emmet!O33,Jackson!O33,Khai!O33,'Mario Q'!O33,Aaron!O33,Ian!O33,Charlie!O33,'Mario S'!O33,David!O33)</f>
        <v>2</v>
      </c>
      <c r="P15" s="34" t="n">
        <f aca="false">SUM(Allen!P33,Mike!P33,Jonah!P33,Jarren!P33,Chance!P33,'Jonathan Mach'!P33,Zach!P33,Hayden!P33,Kyle!P33,'Jonathan Mather'!P33,Cameron!P33,Emmet!P33,Jackson!P33,Khai!P33,'Mario Q'!P33,Aaron!P33,Ian!P33,Charlie!P33,'Mario S'!P33,David!P33)</f>
        <v>3</v>
      </c>
      <c r="Q15" s="34" t="n">
        <f aca="false">SUM(Allen!Q33,Mike!Q33,Jonah!Q33,Jarren!Q33,Chance!Q33,'Jonathan Mach'!Q33,Zach!Q33,Hayden!Q33,Kyle!Q33,'Jonathan Mather'!Q33,Cameron!Q33,Emmet!Q33,Jackson!Q33,Khai!Q33,'Mario Q'!Q33,Aaron!Q33,Ian!Q33,Charlie!Q33,'Mario S'!Q33,David!Q33)</f>
        <v>3</v>
      </c>
      <c r="R15" s="34" t="n">
        <f aca="false">SUM(Allen!R33,Mike!R33,Jonah!R33,Jarren!R33,Chance!R33,'Jonathan Mach'!R33,Zach!R33,Hayden!R33,Kyle!R33,'Jonathan Mather'!R33,Cameron!R33,Emmet!R33,Jackson!R33,Khai!R33,'Mario Q'!R33,Aaron!R33,Ian!R33,Charlie!R33,'Mario S'!R33,David!R33)</f>
        <v>2</v>
      </c>
      <c r="S15" s="34" t="n">
        <f aca="false">SUM(Allen!S33,Mike!S33,Jonah!S33,Jarren!S33,Chance!S33,'Jonathan Mach'!S33,Zach!S33,Hayden!S33,Kyle!S33,'Jonathan Mather'!S33,Cameron!S33,Emmet!S33,Jackson!S33,Khai!S33,'Mario Q'!S33,Aaron!S33,Ian!S33,Charlie!S33,'Mario S'!S33,David!S33)</f>
        <v>1</v>
      </c>
      <c r="T15" s="34" t="n">
        <f aca="false">SUM(Allen!T33,Mike!T33,Jonah!T33,Jarren!T33,Chance!T33,'Jonathan Mach'!T33,Zach!T33,Hayden!T33,Kyle!T33,'Jonathan Mather'!T33,Cameron!T33,Emmet!T33,Jackson!T33,Khai!T33,'Mario Q'!T33,Aaron!T33,Ian!T33,Charlie!T33,'Mario S'!T33,David!T33)</f>
        <v>2</v>
      </c>
      <c r="U15" s="34" t="n">
        <f aca="false">SUM(Allen!U33,Mike!U33,Jonah!U33,Jarren!U33,Chance!U33,'Jonathan Mach'!U33,Zach!U33,Hayden!U33,Kyle!U33,'Jonathan Mather'!U33,Cameron!U33,Emmet!U33,Jackson!U33,Khai!U33,'Mario Q'!U33,Aaron!U33,Ian!U33,Charlie!U33,'Mario S'!U33,David!U33)</f>
        <v>1</v>
      </c>
      <c r="V15" s="34" t="n">
        <f aca="false">SUM(Allen!V33,Mike!V33,Jonah!V33,Jarren!V33,Chance!V33,'Jonathan Mach'!V33,Zach!V33,Hayden!V33,Kyle!V33,'Jonathan Mather'!V33,Cameron!V33,Emmet!V33,Jackson!V33,Khai!V33,'Mario Q'!V33,Aaron!V33,Ian!V33,Charlie!V33,'Mario S'!V33,David!V33)</f>
        <v>1</v>
      </c>
      <c r="W15" s="34" t="n">
        <f aca="false">SUM(Allen!W33,Mike!W33,Jonah!W33,Jarren!W33,Chance!W33,'Jonathan Mach'!W33,Zach!W33,Hayden!W33,Kyle!W33,'Jonathan Mather'!W33,Cameron!W33,Emmet!W33,Jackson!W33,Khai!W33,'Mario Q'!W33,Aaron!W33,Ian!W33,Charlie!W33,'Mario S'!W33,David!W33)</f>
        <v>1</v>
      </c>
      <c r="X15" s="34" t="n">
        <f aca="false">SUM(Allen!X33,Mike!X33,Jonah!X33,Jarren!X33,Chance!X33,'Jonathan Mach'!X33,Zach!X33,Hayden!X33,Kyle!X33,'Jonathan Mather'!X33,Cameron!X33,Emmet!X33,Jackson!X33,Khai!X33,'Mario Q'!X33,Aaron!X33,Ian!X33,Charlie!X33,'Mario S'!X33,David!X33)</f>
        <v>1</v>
      </c>
      <c r="Y15" s="34" t="n">
        <f aca="false">SUM(Allen!Y33,Mike!Y33,Jonah!Y33,Jarren!Y33,Chance!Y33,'Jonathan Mach'!Y33,Zach!Y33,Hayden!Y33,Kyle!Y33,'Jonathan Mather'!Y33,Cameron!Y33,Emmet!Y33,Jackson!Y33,Khai!Y33,'Mario Q'!Y33,Aaron!Y33,Ian!Y33,Charlie!Y33,'Mario S'!Y33,David!Y33)</f>
        <v>1</v>
      </c>
    </row>
    <row r="16" customFormat="false" ht="15.75" hidden="false" customHeight="true" outlineLevel="0" collapsed="false"/>
    <row r="17" customFormat="false" ht="15.75" hidden="false" customHeight="true" outlineLevel="0" collapsed="false">
      <c r="A17" s="31" t="s">
        <v>173</v>
      </c>
    </row>
    <row r="18" customFormat="false" ht="15.75" hidden="false" customHeight="true" outlineLevel="0" collapsed="false">
      <c r="A18" s="33" t="s">
        <v>24</v>
      </c>
      <c r="B18" s="34" t="n">
        <f aca="false">SUM(Allen!B36,Mike!B36,Jonah!B36,Jarren!B36,Chance!B36,'Jonathan Mach'!B36,Zach!B36,Hayden!B36,Kyle!B36,'Jonathan Mather'!B36,Cameron!B36,Emmet!B36,Jackson!B36,Khai!B36,'Mario Q'!B36,Aaron!B36,Ian!B36,Charlie!B36,'Mario S'!B36,David!B36)</f>
        <v>3</v>
      </c>
      <c r="C18" s="34" t="n">
        <f aca="false">SUM(Allen!C36,Mike!C36,Jonah!C36,Jarren!C36,Chance!C36,'Jonathan Mach'!C36,Zach!C36,Hayden!C36,Kyle!C36,'Jonathan Mather'!C36,Cameron!C36,Emmet!C36,Jackson!C36,Khai!C36,'Mario Q'!C36,Aaron!C36,Ian!C36,Charlie!C36,'Mario S'!C36,David!C36)</f>
        <v>3</v>
      </c>
      <c r="D18" s="34" t="n">
        <f aca="false">SUM(Allen!D36,Mike!D36,Jonah!D36,Jarren!D36,Chance!D36,'Jonathan Mach'!D36,Zach!D36,Hayden!D36,Kyle!D36,'Jonathan Mather'!D36,Cameron!D36,Emmet!D36,Jackson!D36,Khai!D36,'Mario Q'!D36,Aaron!D36,Ian!D36,Charlie!D36,'Mario S'!D36,David!D36)</f>
        <v>4</v>
      </c>
      <c r="E18" s="34" t="n">
        <f aca="false">SUM(Allen!E36,Mike!E36,Jonah!E36,Jarren!E36,Chance!E36,'Jonathan Mach'!E36,Zach!E36,Hayden!E36,Kyle!E36,'Jonathan Mather'!E36,Cameron!E36,Emmet!E36,Jackson!E36,Khai!E36,'Mario Q'!E36,Aaron!E36,Ian!E36,Charlie!E36,'Mario S'!E36,David!E36)</f>
        <v>4</v>
      </c>
      <c r="F18" s="34" t="n">
        <f aca="false">SUM(Allen!F36,Mike!F36,Jonah!F36,Jarren!F36,Chance!F36,'Jonathan Mach'!F36,Zach!F36,Hayden!F36,Kyle!F36,'Jonathan Mather'!F36,Cameron!F36,Emmet!F36,Jackson!F36,Khai!F36,'Mario Q'!F36,Aaron!F36,Ian!F36,Charlie!F36,'Mario S'!F36,David!F36)</f>
        <v>4</v>
      </c>
      <c r="G18" s="34" t="n">
        <f aca="false">SUM(Allen!G36,Mike!G36,Jonah!G36,Jarren!G36,Chance!G36,'Jonathan Mach'!G36,Zach!G36,Hayden!G36,Kyle!G36,'Jonathan Mather'!G36,Cameron!G36,Emmet!G36,Jackson!G36,Khai!G36,'Mario Q'!G36,Aaron!G36,Ian!G36,Charlie!G36,'Mario S'!G36,David!G36)</f>
        <v>4</v>
      </c>
      <c r="H18" s="34" t="n">
        <f aca="false">SUM(Allen!H36,Mike!H36,Jonah!H36,Jarren!H36,Chance!H36,'Jonathan Mach'!H36,Zach!H36,Hayden!H36,Kyle!H36,'Jonathan Mather'!H36,Cameron!H36,Emmet!H36,Jackson!H36,Khai!H36,'Mario Q'!H36,Aaron!H36,Ian!H36,Charlie!H36,'Mario S'!H36,David!H36)</f>
        <v>1</v>
      </c>
      <c r="I18" s="34" t="n">
        <f aca="false">SUM(Allen!I36,Mike!I36,Jonah!I36,Jarren!I36,Chance!I36,'Jonathan Mach'!I36,Zach!I36,Hayden!I36,Kyle!I36,'Jonathan Mather'!I36,Cameron!I36,Emmet!I36,Jackson!I36,Khai!I36,'Mario Q'!I36,Aaron!I36,Ian!I36,Charlie!I36,'Mario S'!I36,David!I36)</f>
        <v>1</v>
      </c>
      <c r="J18" s="34" t="n">
        <f aca="false">SUM(Allen!J36,Mike!J36,Jonah!J36,Jarren!J36,Chance!J36,'Jonathan Mach'!J36,Zach!J36,Hayden!J36,Kyle!J36,'Jonathan Mather'!J36,Cameron!J36,Emmet!J36,Jackson!J36,Khai!J36,'Mario Q'!J36,Aaron!J36,Ian!J36,Charlie!J36,'Mario S'!J36,David!J36)</f>
        <v>1</v>
      </c>
      <c r="K18" s="34" t="n">
        <f aca="false">SUM(Allen!K36,Mike!K36,Jonah!K36,Jarren!K36,Chance!K36,'Jonathan Mach'!K36,Zach!K36,Hayden!K36,Kyle!K36,'Jonathan Mather'!K36,Cameron!K36,Emmet!K36,Jackson!K36,Khai!K36,'Mario Q'!K36,Aaron!K36,Ian!K36,Charlie!K36,'Mario S'!K36,David!K36)</f>
        <v>1</v>
      </c>
      <c r="L18" s="34" t="n">
        <f aca="false">SUM(Allen!L36,Mike!L36,Jonah!L36,Jarren!L36,Chance!L36,'Jonathan Mach'!L36,Zach!L36,Hayden!L36,Kyle!L36,'Jonathan Mather'!L36,Cameron!L36,Emmet!L36,Jackson!L36,Khai!L36,'Mario Q'!L36,Aaron!L36,Ian!L36,Charlie!L36,'Mario S'!L36,David!L36)</f>
        <v>2</v>
      </c>
      <c r="M18" s="34" t="n">
        <f aca="false">SUM(Allen!M36,Mike!M36,Jonah!M36,Jarren!M36,Chance!M36,'Jonathan Mach'!M36,Zach!M36,Hayden!M36,Kyle!M36,'Jonathan Mather'!M36,Cameron!M36,Emmet!M36,Jackson!M36,Khai!M36,'Mario Q'!M36,Aaron!M36,Ian!M36,Charlie!M36,'Mario S'!M36,David!M36)</f>
        <v>2</v>
      </c>
      <c r="N18" s="34" t="n">
        <f aca="false">SUM(Allen!N36,Mike!N36,Jonah!N36,Jarren!N36,Chance!N36,'Jonathan Mach'!N36,Zach!N36,Hayden!N36,Kyle!N36,'Jonathan Mather'!N36,Cameron!N36,Emmet!N36,Jackson!N36,Khai!N36,'Mario Q'!N36,Aaron!N36,Ian!N36,Charlie!N36,'Mario S'!N36,David!N36)</f>
        <v>1</v>
      </c>
      <c r="O18" s="34" t="n">
        <f aca="false">SUM(Allen!O36,Mike!O36,Jonah!O36,Jarren!O36,Chance!O36,'Jonathan Mach'!O36,Zach!O36,Hayden!O36,Kyle!O36,'Jonathan Mather'!O36,Cameron!O36,Emmet!O36,Jackson!O36,Khai!O36,'Mario Q'!O36,Aaron!O36,Ian!O36,Charlie!O36,'Mario S'!O36,David!O36)</f>
        <v>3</v>
      </c>
      <c r="P18" s="34" t="n">
        <f aca="false">SUM(Allen!P36,Mike!P36,Jonah!P36,Jarren!P36,Chance!P36,'Jonathan Mach'!P36,Zach!P36,Hayden!P36,Kyle!P36,'Jonathan Mather'!P36,Cameron!P36,Emmet!P36,Jackson!P36,Khai!P36,'Mario Q'!P36,Aaron!P36,Ian!P36,Charlie!P36,'Mario S'!P36,David!P36)</f>
        <v>4</v>
      </c>
      <c r="Q18" s="34" t="n">
        <f aca="false">SUM(Allen!Q36,Mike!Q36,Jonah!Q36,Jarren!Q36,Chance!Q36,'Jonathan Mach'!Q36,Zach!Q36,Hayden!Q36,Kyle!Q36,'Jonathan Mather'!Q36,Cameron!Q36,Emmet!Q36,Jackson!Q36,Khai!Q36,'Mario Q'!Q36,Aaron!Q36,Ian!Q36,Charlie!Q36,'Mario S'!Q36,David!Q36)</f>
        <v>4</v>
      </c>
      <c r="R18" s="34" t="n">
        <f aca="false">SUM(Allen!R36,Mike!R36,Jonah!R36,Jarren!R36,Chance!R36,'Jonathan Mach'!R36,Zach!R36,Hayden!R36,Kyle!R36,'Jonathan Mather'!R36,Cameron!R36,Emmet!R36,Jackson!R36,Khai!R36,'Mario Q'!R36,Aaron!R36,Ian!R36,Charlie!R36,'Mario S'!R36,David!R36)</f>
        <v>4</v>
      </c>
      <c r="S18" s="34" t="n">
        <f aca="false">SUM(Allen!S36,Mike!S36,Jonah!S36,Jarren!S36,Chance!S36,'Jonathan Mach'!S36,Zach!S36,Hayden!S36,Kyle!S36,'Jonathan Mather'!S36,Cameron!S36,Emmet!S36,Jackson!S36,Khai!S36,'Mario Q'!S36,Aaron!S36,Ian!S36,Charlie!S36,'Mario S'!S36,David!S36)</f>
        <v>4</v>
      </c>
      <c r="T18" s="34" t="n">
        <f aca="false">SUM(Allen!T36,Mike!T36,Jonah!T36,Jarren!T36,Chance!T36,'Jonathan Mach'!T36,Zach!T36,Hayden!T36,Kyle!T36,'Jonathan Mather'!T36,Cameron!T36,Emmet!T36,Jackson!T36,Khai!T36,'Mario Q'!T36,Aaron!T36,Ian!T36,Charlie!T36,'Mario S'!T36,David!T36)</f>
        <v>3</v>
      </c>
      <c r="U18" s="34" t="n">
        <f aca="false">SUM(Allen!U36,Mike!U36,Jonah!U36,Jarren!U36,Chance!U36,'Jonathan Mach'!U36,Zach!U36,Hayden!U36,Kyle!U36,'Jonathan Mather'!U36,Cameron!U36,Emmet!U36,Jackson!U36,Khai!U36,'Mario Q'!U36,Aaron!U36,Ian!U36,Charlie!U36,'Mario S'!U36,David!U36)</f>
        <v>3</v>
      </c>
      <c r="V18" s="34" t="n">
        <f aca="false">SUM(Allen!V36,Mike!V36,Jonah!V36,Jarren!V36,Chance!V36,'Jonathan Mach'!V36,Zach!V36,Hayden!V36,Kyle!V36,'Jonathan Mather'!V36,Cameron!V36,Emmet!V36,Jackson!V36,Khai!V36,'Mario Q'!V36,Aaron!V36,Ian!V36,Charlie!V36,'Mario S'!V36,David!V36)</f>
        <v>3</v>
      </c>
      <c r="W18" s="34" t="n">
        <f aca="false">SUM(Allen!W36,Mike!W36,Jonah!W36,Jarren!W36,Chance!W36,'Jonathan Mach'!W36,Zach!W36,Hayden!W36,Kyle!W36,'Jonathan Mather'!W36,Cameron!W36,Emmet!W36,Jackson!W36,Khai!W36,'Mario Q'!W36,Aaron!W36,Ian!W36,Charlie!W36,'Mario S'!W36,David!W36)</f>
        <v>3</v>
      </c>
      <c r="X18" s="34" t="n">
        <f aca="false">SUM(Allen!X36,Mike!X36,Jonah!X36,Jarren!X36,Chance!X36,'Jonathan Mach'!X36,Zach!X36,Hayden!X36,Kyle!X36,'Jonathan Mather'!X36,Cameron!X36,Emmet!X36,Jackson!X36,Khai!X36,'Mario Q'!X36,Aaron!X36,Ian!X36,Charlie!X36,'Mario S'!X36,David!X36)</f>
        <v>3</v>
      </c>
      <c r="Y18" s="34" t="n">
        <f aca="false">SUM(Allen!Y36,Mike!Y36,Jonah!Y36,Jarren!Y36,Chance!Y36,'Jonathan Mach'!Y36,Zach!Y36,Hayden!Y36,Kyle!Y36,'Jonathan Mather'!Y36,Cameron!Y36,Emmet!Y36,Jackson!Y36,Khai!Y36,'Mario Q'!Y36,Aaron!Y36,Ian!Y36,Charlie!Y36,'Mario S'!Y36,David!Y36)</f>
        <v>3</v>
      </c>
    </row>
    <row r="19" customFormat="false" ht="15.75" hidden="false" customHeight="true" outlineLevel="0" collapsed="false">
      <c r="A19" s="33" t="s">
        <v>66</v>
      </c>
      <c r="B19" s="34" t="n">
        <f aca="false">SUM(Allen!B37,Mike!B37,Jonah!B37,Jarren!B37,Chance!B37,'Jonathan Mach'!B37,Zach!B37,Hayden!B37,Kyle!B37,'Jonathan Mather'!B37,Cameron!B37,Emmet!B37,Jackson!B37,Khai!B37,'Mario Q'!B37,Aaron!B37,Ian!B37,Charlie!B37,'Mario S'!B37,David!B37)</f>
        <v>3</v>
      </c>
      <c r="C19" s="34" t="n">
        <f aca="false">SUM(Allen!C37,Mike!C37,Jonah!C37,Jarren!C37,Chance!C37,'Jonathan Mach'!C37,Zach!C37,Hayden!C37,Kyle!C37,'Jonathan Mather'!C37,Cameron!C37,Emmet!C37,Jackson!C37,Khai!C37,'Mario Q'!C37,Aaron!C37,Ian!C37,Charlie!C37,'Mario S'!C37,David!C37)</f>
        <v>3</v>
      </c>
      <c r="D19" s="34" t="n">
        <f aca="false">SUM(Allen!D37,Mike!D37,Jonah!D37,Jarren!D37,Chance!D37,'Jonathan Mach'!D37,Zach!D37,Hayden!D37,Kyle!D37,'Jonathan Mather'!D37,Cameron!D37,Emmet!D37,Jackson!D37,Khai!D37,'Mario Q'!D37,Aaron!D37,Ian!D37,Charlie!D37,'Mario S'!D37,David!D37)</f>
        <v>3</v>
      </c>
      <c r="E19" s="34" t="n">
        <f aca="false">SUM(Allen!E37,Mike!E37,Jonah!E37,Jarren!E37,Chance!E37,'Jonathan Mach'!E37,Zach!E37,Hayden!E37,Kyle!E37,'Jonathan Mather'!E37,Cameron!E37,Emmet!E37,Jackson!E37,Khai!E37,'Mario Q'!E37,Aaron!E37,Ian!E37,Charlie!E37,'Mario S'!E37,David!E37)</f>
        <v>3</v>
      </c>
      <c r="F19" s="34" t="n">
        <f aca="false">SUM(Allen!F37,Mike!F37,Jonah!F37,Jarren!F37,Chance!F37,'Jonathan Mach'!F37,Zach!F37,Hayden!F37,Kyle!F37,'Jonathan Mather'!F37,Cameron!F37,Emmet!F37,Jackson!F37,Khai!F37,'Mario Q'!F37,Aaron!F37,Ian!F37,Charlie!F37,'Mario S'!F37,David!F37)</f>
        <v>3</v>
      </c>
      <c r="G19" s="34" t="n">
        <f aca="false">SUM(Allen!G37,Mike!G37,Jonah!G37,Jarren!G37,Chance!G37,'Jonathan Mach'!G37,Zach!G37,Hayden!G37,Kyle!G37,'Jonathan Mather'!G37,Cameron!G37,Emmet!G37,Jackson!G37,Khai!G37,'Mario Q'!G37,Aaron!G37,Ian!G37,Charlie!G37,'Mario S'!G37,David!G37)</f>
        <v>5</v>
      </c>
      <c r="H19" s="34" t="n">
        <f aca="false">SUM(Allen!H37,Mike!H37,Jonah!H37,Jarren!H37,Chance!H37,'Jonathan Mach'!H37,Zach!H37,Hayden!H37,Kyle!H37,'Jonathan Mather'!H37,Cameron!H37,Emmet!H37,Jackson!H37,Khai!H37,'Mario Q'!H37,Aaron!H37,Ian!H37,Charlie!H37,'Mario S'!H37,David!H37)</f>
        <v>4</v>
      </c>
      <c r="I19" s="34" t="n">
        <f aca="false">SUM(Allen!I37,Mike!I37,Jonah!I37,Jarren!I37,Chance!I37,'Jonathan Mach'!I37,Zach!I37,Hayden!I37,Kyle!I37,'Jonathan Mather'!I37,Cameron!I37,Emmet!I37,Jackson!I37,Khai!I37,'Mario Q'!I37,Aaron!I37,Ian!I37,Charlie!I37,'Mario S'!I37,David!I37)</f>
        <v>4</v>
      </c>
      <c r="J19" s="34" t="n">
        <f aca="false">SUM(Allen!J37,Mike!J37,Jonah!J37,Jarren!J37,Chance!J37,'Jonathan Mach'!J37,Zach!J37,Hayden!J37,Kyle!J37,'Jonathan Mather'!J37,Cameron!J37,Emmet!J37,Jackson!J37,Khai!J37,'Mario Q'!J37,Aaron!J37,Ian!J37,Charlie!J37,'Mario S'!J37,David!J37)</f>
        <v>4</v>
      </c>
      <c r="K19" s="34" t="n">
        <f aca="false">SUM(Allen!K37,Mike!K37,Jonah!K37,Jarren!K37,Chance!K37,'Jonathan Mach'!K37,Zach!K37,Hayden!K37,Kyle!K37,'Jonathan Mather'!K37,Cameron!K37,Emmet!K37,Jackson!K37,Khai!K37,'Mario Q'!K37,Aaron!K37,Ian!K37,Charlie!K37,'Mario S'!K37,David!K37)</f>
        <v>5</v>
      </c>
      <c r="L19" s="34" t="n">
        <f aca="false">SUM(Allen!L37,Mike!L37,Jonah!L37,Jarren!L37,Chance!L37,'Jonathan Mach'!L37,Zach!L37,Hayden!L37,Kyle!L37,'Jonathan Mather'!L37,Cameron!L37,Emmet!L37,Jackson!L37,Khai!L37,'Mario Q'!L37,Aaron!L37,Ian!L37,Charlie!L37,'Mario S'!L37,David!L37)</f>
        <v>5</v>
      </c>
      <c r="M19" s="34" t="n">
        <f aca="false">SUM(Allen!M37,Mike!M37,Jonah!M37,Jarren!M37,Chance!M37,'Jonathan Mach'!M37,Zach!M37,Hayden!M37,Kyle!M37,'Jonathan Mather'!M37,Cameron!M37,Emmet!M37,Jackson!M37,Khai!M37,'Mario Q'!M37,Aaron!M37,Ian!M37,Charlie!M37,'Mario S'!M37,David!M37)</f>
        <v>4</v>
      </c>
      <c r="N19" s="34" t="n">
        <f aca="false">SUM(Allen!N37,Mike!N37,Jonah!N37,Jarren!N37,Chance!N37,'Jonathan Mach'!N37,Zach!N37,Hayden!N37,Kyle!N37,'Jonathan Mather'!N37,Cameron!N37,Emmet!N37,Jackson!N37,Khai!N37,'Mario Q'!N37,Aaron!N37,Ian!N37,Charlie!N37,'Mario S'!N37,David!N37)</f>
        <v>2</v>
      </c>
      <c r="O19" s="34" t="n">
        <f aca="false">SUM(Allen!O37,Mike!O37,Jonah!O37,Jarren!O37,Chance!O37,'Jonathan Mach'!O37,Zach!O37,Hayden!O37,Kyle!O37,'Jonathan Mather'!O37,Cameron!O37,Emmet!O37,Jackson!O37,Khai!O37,'Mario Q'!O37,Aaron!O37,Ian!O37,Charlie!O37,'Mario S'!O37,David!O37)</f>
        <v>2</v>
      </c>
      <c r="P19" s="34" t="n">
        <f aca="false">SUM(Allen!P37,Mike!P37,Jonah!P37,Jarren!P37,Chance!P37,'Jonathan Mach'!P37,Zach!P37,Hayden!P37,Kyle!P37,'Jonathan Mather'!P37,Cameron!P37,Emmet!P37,Jackson!P37,Khai!P37,'Mario Q'!P37,Aaron!P37,Ian!P37,Charlie!P37,'Mario S'!P37,David!P37)</f>
        <v>4</v>
      </c>
      <c r="Q19" s="34" t="n">
        <f aca="false">SUM(Allen!Q37,Mike!Q37,Jonah!Q37,Jarren!Q37,Chance!Q37,'Jonathan Mach'!Q37,Zach!Q37,Hayden!Q37,Kyle!Q37,'Jonathan Mather'!Q37,Cameron!Q37,Emmet!Q37,Jackson!Q37,Khai!Q37,'Mario Q'!Q37,Aaron!Q37,Ian!Q37,Charlie!Q37,'Mario S'!Q37,David!Q37)</f>
        <v>3</v>
      </c>
      <c r="R19" s="34" t="n">
        <f aca="false">SUM(Allen!R37,Mike!R37,Jonah!R37,Jarren!R37,Chance!R37,'Jonathan Mach'!R37,Zach!R37,Hayden!R37,Kyle!R37,'Jonathan Mather'!R37,Cameron!R37,Emmet!R37,Jackson!R37,Khai!R37,'Mario Q'!R37,Aaron!R37,Ian!R37,Charlie!R37,'Mario S'!R37,David!R37)</f>
        <v>3</v>
      </c>
      <c r="S19" s="34" t="n">
        <f aca="false">SUM(Allen!S37,Mike!S37,Jonah!S37,Jarren!S37,Chance!S37,'Jonathan Mach'!S37,Zach!S37,Hayden!S37,Kyle!S37,'Jonathan Mather'!S37,Cameron!S37,Emmet!S37,Jackson!S37,Khai!S37,'Mario Q'!S37,Aaron!S37,Ian!S37,Charlie!S37,'Mario S'!S37,David!S37)</f>
        <v>4</v>
      </c>
      <c r="T19" s="34" t="n">
        <f aca="false">SUM(Allen!T37,Mike!T37,Jonah!T37,Jarren!T37,Chance!T37,'Jonathan Mach'!T37,Zach!T37,Hayden!T37,Kyle!T37,'Jonathan Mather'!T37,Cameron!T37,Emmet!T37,Jackson!T37,Khai!T37,'Mario Q'!T37,Aaron!T37,Ian!T37,Charlie!T37,'Mario S'!T37,David!T37)</f>
        <v>3</v>
      </c>
      <c r="U19" s="34" t="n">
        <f aca="false">SUM(Allen!U37,Mike!U37,Jonah!U37,Jarren!U37,Chance!U37,'Jonathan Mach'!U37,Zach!U37,Hayden!U37,Kyle!U37,'Jonathan Mather'!U37,Cameron!U37,Emmet!U37,Jackson!U37,Khai!U37,'Mario Q'!U37,Aaron!U37,Ian!U37,Charlie!U37,'Mario S'!U37,David!U37)</f>
        <v>3</v>
      </c>
      <c r="V19" s="34" t="n">
        <f aca="false">SUM(Allen!V37,Mike!V37,Jonah!V37,Jarren!V37,Chance!V37,'Jonathan Mach'!V37,Zach!V37,Hayden!V37,Kyle!V37,'Jonathan Mather'!V37,Cameron!V37,Emmet!V37,Jackson!V37,Khai!V37,'Mario Q'!V37,Aaron!V37,Ian!V37,Charlie!V37,'Mario S'!V37,David!V37)</f>
        <v>0</v>
      </c>
      <c r="W19" s="34" t="n">
        <f aca="false">SUM(Allen!W37,Mike!W37,Jonah!W37,Jarren!W37,Chance!W37,'Jonathan Mach'!W37,Zach!W37,Hayden!W37,Kyle!W37,'Jonathan Mather'!W37,Cameron!W37,Emmet!W37,Jackson!W37,Khai!W37,'Mario Q'!W37,Aaron!W37,Ian!W37,Charlie!W37,'Mario S'!W37,David!W37)</f>
        <v>0</v>
      </c>
      <c r="X19" s="34" t="n">
        <f aca="false">SUM(Allen!X37,Mike!X37,Jonah!X37,Jarren!X37,Chance!X37,'Jonathan Mach'!X37,Zach!X37,Hayden!X37,Kyle!X37,'Jonathan Mather'!X37,Cameron!X37,Emmet!X37,Jackson!X37,Khai!X37,'Mario Q'!X37,Aaron!X37,Ian!X37,Charlie!X37,'Mario S'!X37,David!X37)</f>
        <v>0</v>
      </c>
      <c r="Y19" s="34" t="n">
        <f aca="false">SUM(Allen!Y37,Mike!Y37,Jonah!Y37,Jarren!Y37,Chance!Y37,'Jonathan Mach'!Y37,Zach!Y37,Hayden!Y37,Kyle!Y37,'Jonathan Mather'!Y37,Cameron!Y37,Emmet!Y37,Jackson!Y37,Khai!Y37,'Mario Q'!Y37,Aaron!Y37,Ian!Y37,Charlie!Y37,'Mario S'!Y37,David!Y37)</f>
        <v>0</v>
      </c>
    </row>
    <row r="20" customFormat="false" ht="15.75" hidden="false" customHeight="true" outlineLevel="0" collapsed="false">
      <c r="A20" s="33" t="s">
        <v>73</v>
      </c>
      <c r="B20" s="34" t="n">
        <f aca="false">SUM(Allen!B38,Mike!B38,Jonah!B38,Jarren!B38,Chance!B38,'Jonathan Mach'!B38,Zach!B38,Hayden!B38,Kyle!B38,'Jonathan Mather'!B38,Cameron!B38,Emmet!B38,Jackson!B38,Khai!B38,'Mario Q'!B38,Aaron!B38,Ian!B38,Charlie!B38,'Mario S'!B38,David!B38)</f>
        <v>3</v>
      </c>
      <c r="C20" s="34" t="n">
        <f aca="false">SUM(Allen!C38,Mike!C38,Jonah!C38,Jarren!C38,Chance!C38,'Jonathan Mach'!C38,Zach!C38,Hayden!C38,Kyle!C38,'Jonathan Mather'!C38,Cameron!C38,Emmet!C38,Jackson!C38,Khai!C38,'Mario Q'!C38,Aaron!C38,Ian!C38,Charlie!C38,'Mario S'!C38,David!C38)</f>
        <v>3</v>
      </c>
      <c r="D20" s="34" t="n">
        <f aca="false">SUM(Allen!D38,Mike!D38,Jonah!D38,Jarren!D38,Chance!D38,'Jonathan Mach'!D38,Zach!D38,Hayden!D38,Kyle!D38,'Jonathan Mather'!D38,Cameron!D38,Emmet!D38,Jackson!D38,Khai!D38,'Mario Q'!D38,Aaron!D38,Ian!D38,Charlie!D38,'Mario S'!D38,David!D38)</f>
        <v>4</v>
      </c>
      <c r="E20" s="34" t="n">
        <f aca="false">SUM(Allen!E38,Mike!E38,Jonah!E38,Jarren!E38,Chance!E38,'Jonathan Mach'!E38,Zach!E38,Hayden!E38,Kyle!E38,'Jonathan Mather'!E38,Cameron!E38,Emmet!E38,Jackson!E38,Khai!E38,'Mario Q'!E38,Aaron!E38,Ian!E38,Charlie!E38,'Mario S'!E38,David!E38)</f>
        <v>4</v>
      </c>
      <c r="F20" s="34" t="n">
        <f aca="false">SUM(Allen!F38,Mike!F38,Jonah!F38,Jarren!F38,Chance!F38,'Jonathan Mach'!F38,Zach!F38,Hayden!F38,Kyle!F38,'Jonathan Mather'!F38,Cameron!F38,Emmet!F38,Jackson!F38,Khai!F38,'Mario Q'!F38,Aaron!F38,Ian!F38,Charlie!F38,'Mario S'!F38,David!F38)</f>
        <v>5</v>
      </c>
      <c r="G20" s="34" t="n">
        <f aca="false">SUM(Allen!G38,Mike!G38,Jonah!G38,Jarren!G38,Chance!G38,'Jonathan Mach'!G38,Zach!G38,Hayden!G38,Kyle!G38,'Jonathan Mather'!G38,Cameron!G38,Emmet!G38,Jackson!G38,Khai!G38,'Mario Q'!G38,Aaron!G38,Ian!G38,Charlie!G38,'Mario S'!G38,David!G38)</f>
        <v>5</v>
      </c>
      <c r="H20" s="34" t="n">
        <f aca="false">SUM(Allen!H38,Mike!H38,Jonah!H38,Jarren!H38,Chance!H38,'Jonathan Mach'!H38,Zach!H38,Hayden!H38,Kyle!H38,'Jonathan Mather'!H38,Cameron!H38,Emmet!H38,Jackson!H38,Khai!H38,'Mario Q'!H38,Aaron!H38,Ian!H38,Charlie!H38,'Mario S'!H38,David!H38)</f>
        <v>2</v>
      </c>
      <c r="I20" s="34" t="n">
        <f aca="false">SUM(Allen!I38,Mike!I38,Jonah!I38,Jarren!I38,Chance!I38,'Jonathan Mach'!I38,Zach!I38,Hayden!I38,Kyle!I38,'Jonathan Mather'!I38,Cameron!I38,Emmet!I38,Jackson!I38,Khai!I38,'Mario Q'!I38,Aaron!I38,Ian!I38,Charlie!I38,'Mario S'!I38,David!I38)</f>
        <v>2</v>
      </c>
      <c r="J20" s="34" t="n">
        <f aca="false">SUM(Allen!J38,Mike!J38,Jonah!J38,Jarren!J38,Chance!J38,'Jonathan Mach'!J38,Zach!J38,Hayden!J38,Kyle!J38,'Jonathan Mather'!J38,Cameron!J38,Emmet!J38,Jackson!J38,Khai!J38,'Mario Q'!J38,Aaron!J38,Ian!J38,Charlie!J38,'Mario S'!J38,David!J38)</f>
        <v>2</v>
      </c>
      <c r="K20" s="34" t="n">
        <f aca="false">SUM(Allen!K38,Mike!K38,Jonah!K38,Jarren!K38,Chance!K38,'Jonathan Mach'!K38,Zach!K38,Hayden!K38,Kyle!K38,'Jonathan Mather'!K38,Cameron!K38,Emmet!K38,Jackson!K38,Khai!K38,'Mario Q'!K38,Aaron!K38,Ian!K38,Charlie!K38,'Mario S'!K38,David!K38)</f>
        <v>2</v>
      </c>
      <c r="L20" s="34" t="n">
        <f aca="false">SUM(Allen!L38,Mike!L38,Jonah!L38,Jarren!L38,Chance!L38,'Jonathan Mach'!L38,Zach!L38,Hayden!L38,Kyle!L38,'Jonathan Mather'!L38,Cameron!L38,Emmet!L38,Jackson!L38,Khai!L38,'Mario Q'!L38,Aaron!L38,Ian!L38,Charlie!L38,'Mario S'!L38,David!L38)</f>
        <v>3</v>
      </c>
      <c r="M20" s="34" t="n">
        <f aca="false">SUM(Allen!M38,Mike!M38,Jonah!M38,Jarren!M38,Chance!M38,'Jonathan Mach'!M38,Zach!M38,Hayden!M38,Kyle!M38,'Jonathan Mather'!M38,Cameron!M38,Emmet!M38,Jackson!M38,Khai!M38,'Mario Q'!M38,Aaron!M38,Ian!M38,Charlie!M38,'Mario S'!M38,David!M38)</f>
        <v>3</v>
      </c>
      <c r="N20" s="34" t="n">
        <f aca="false">SUM(Allen!N38,Mike!N38,Jonah!N38,Jarren!N38,Chance!N38,'Jonathan Mach'!N38,Zach!N38,Hayden!N38,Kyle!N38,'Jonathan Mather'!N38,Cameron!N38,Emmet!N38,Jackson!N38,Khai!N38,'Mario Q'!N38,Aaron!N38,Ian!N38,Charlie!N38,'Mario S'!N38,David!N38)</f>
        <v>2</v>
      </c>
      <c r="O20" s="34" t="n">
        <f aca="false">SUM(Allen!O38,Mike!O38,Jonah!O38,Jarren!O38,Chance!O38,'Jonathan Mach'!O38,Zach!O38,Hayden!O38,Kyle!O38,'Jonathan Mather'!O38,Cameron!O38,Emmet!O38,Jackson!O38,Khai!O38,'Mario Q'!O38,Aaron!O38,Ian!O38,Charlie!O38,'Mario S'!O38,David!O38)</f>
        <v>4</v>
      </c>
      <c r="P20" s="34" t="n">
        <f aca="false">SUM(Allen!P38,Mike!P38,Jonah!P38,Jarren!P38,Chance!P38,'Jonathan Mach'!P38,Zach!P38,Hayden!P38,Kyle!P38,'Jonathan Mather'!P38,Cameron!P38,Emmet!P38,Jackson!P38,Khai!P38,'Mario Q'!P38,Aaron!P38,Ian!P38,Charlie!P38,'Mario S'!P38,David!P38)</f>
        <v>4</v>
      </c>
      <c r="Q20" s="34" t="n">
        <f aca="false">SUM(Allen!Q38,Mike!Q38,Jonah!Q38,Jarren!Q38,Chance!Q38,'Jonathan Mach'!Q38,Zach!Q38,Hayden!Q38,Kyle!Q38,'Jonathan Mather'!Q38,Cameron!Q38,Emmet!Q38,Jackson!Q38,Khai!Q38,'Mario Q'!Q38,Aaron!Q38,Ian!Q38,Charlie!Q38,'Mario S'!Q38,David!Q38)</f>
        <v>4</v>
      </c>
      <c r="R20" s="34" t="n">
        <f aca="false">SUM(Allen!R38,Mike!R38,Jonah!R38,Jarren!R38,Chance!R38,'Jonathan Mach'!R38,Zach!R38,Hayden!R38,Kyle!R38,'Jonathan Mather'!R38,Cameron!R38,Emmet!R38,Jackson!R38,Khai!R38,'Mario Q'!R38,Aaron!R38,Ian!R38,Charlie!R38,'Mario S'!R38,David!R38)</f>
        <v>4</v>
      </c>
      <c r="S20" s="34" t="n">
        <f aca="false">SUM(Allen!S38,Mike!S38,Jonah!S38,Jarren!S38,Chance!S38,'Jonathan Mach'!S38,Zach!S38,Hayden!S38,Kyle!S38,'Jonathan Mather'!S38,Cameron!S38,Emmet!S38,Jackson!S38,Khai!S38,'Mario Q'!S38,Aaron!S38,Ian!S38,Charlie!S38,'Mario S'!S38,David!S38)</f>
        <v>4</v>
      </c>
      <c r="T20" s="34" t="n">
        <f aca="false">SUM(Allen!T38,Mike!T38,Jonah!T38,Jarren!T38,Chance!T38,'Jonathan Mach'!T38,Zach!T38,Hayden!T38,Kyle!T38,'Jonathan Mather'!T38,Cameron!T38,Emmet!T38,Jackson!T38,Khai!T38,'Mario Q'!T38,Aaron!T38,Ian!T38,Charlie!T38,'Mario S'!T38,David!T38)</f>
        <v>3</v>
      </c>
      <c r="U20" s="34" t="n">
        <f aca="false">SUM(Allen!U38,Mike!U38,Jonah!U38,Jarren!U38,Chance!U38,'Jonathan Mach'!U38,Zach!U38,Hayden!U38,Kyle!U38,'Jonathan Mather'!U38,Cameron!U38,Emmet!U38,Jackson!U38,Khai!U38,'Mario Q'!U38,Aaron!U38,Ian!U38,Charlie!U38,'Mario S'!U38,David!U38)</f>
        <v>3</v>
      </c>
      <c r="V20" s="38"/>
      <c r="W20" s="38"/>
      <c r="X20" s="38"/>
      <c r="Y20" s="38"/>
    </row>
    <row r="21" customFormat="false" ht="15.75" hidden="false" customHeight="true" outlineLevel="0" collapsed="false">
      <c r="A21" s="33" t="s">
        <v>75</v>
      </c>
      <c r="B21" s="34" t="n">
        <f aca="false">SUM(Allen!B39,Mike!B39,Jonah!B39,Jarren!B39,Chance!B39,'Jonathan Mach'!B39,Zach!B39,Hayden!B39,Kyle!B39,'Jonathan Mather'!B39,Cameron!B39,Emmet!B39,Jackson!B39,Khai!B39,'Mario Q'!B39,Aaron!B39,Ian!B39,Charlie!B39,'Mario S'!B39,David!B39)</f>
        <v>3</v>
      </c>
      <c r="C21" s="34" t="n">
        <f aca="false">SUM(Allen!C39,Mike!C39,Jonah!C39,Jarren!C39,Chance!C39,'Jonathan Mach'!C39,Zach!C39,Hayden!C39,Kyle!C39,'Jonathan Mather'!C39,Cameron!C39,Emmet!C39,Jackson!C39,Khai!C39,'Mario Q'!C39,Aaron!C39,Ian!C39,Charlie!C39,'Mario S'!C39,David!C39)</f>
        <v>3</v>
      </c>
      <c r="D21" s="34" t="n">
        <f aca="false">SUM(Allen!D39,Mike!D39,Jonah!D39,Jarren!D39,Chance!D39,'Jonathan Mach'!D39,Zach!D39,Hayden!D39,Kyle!D39,'Jonathan Mather'!D39,Cameron!D39,Emmet!D39,Jackson!D39,Khai!D39,'Mario Q'!D39,Aaron!D39,Ian!D39,Charlie!D39,'Mario S'!D39,David!D39)</f>
        <v>3</v>
      </c>
      <c r="E21" s="34" t="n">
        <f aca="false">SUM(Allen!E39,Mike!E39,Jonah!E39,Jarren!E39,Chance!E39,'Jonathan Mach'!E39,Zach!E39,Hayden!E39,Kyle!E39,'Jonathan Mather'!E39,Cameron!E39,Emmet!E39,Jackson!E39,Khai!E39,'Mario Q'!E39,Aaron!E39,Ian!E39,Charlie!E39,'Mario S'!E39,David!E39)</f>
        <v>3</v>
      </c>
      <c r="F21" s="34" t="n">
        <f aca="false">SUM(Allen!F39,Mike!F39,Jonah!F39,Jarren!F39,Chance!F39,'Jonathan Mach'!F39,Zach!F39,Hayden!F39,Kyle!F39,'Jonathan Mather'!F39,Cameron!F39,Emmet!F39,Jackson!F39,Khai!F39,'Mario Q'!F39,Aaron!F39,Ian!F39,Charlie!F39,'Mario S'!F39,David!F39)</f>
        <v>3</v>
      </c>
      <c r="G21" s="34" t="n">
        <f aca="false">SUM(Allen!G39,Mike!G39,Jonah!G39,Jarren!G39,Chance!G39,'Jonathan Mach'!G39,Zach!G39,Hayden!G39,Kyle!G39,'Jonathan Mather'!G39,Cameron!G39,Emmet!G39,Jackson!G39,Khai!G39,'Mario Q'!G39,Aaron!G39,Ian!G39,Charlie!G39,'Mario S'!G39,David!G39)</f>
        <v>3</v>
      </c>
      <c r="H21" s="34" t="n">
        <f aca="false">SUM(Allen!H39,Mike!H39,Jonah!H39,Jarren!H39,Chance!H39,'Jonathan Mach'!H39,Zach!H39,Hayden!H39,Kyle!H39,'Jonathan Mather'!H39,Cameron!H39,Emmet!H39,Jackson!H39,Khai!H39,'Mario Q'!H39,Aaron!H39,Ian!H39,Charlie!H39,'Mario S'!H39,David!H39)</f>
        <v>0</v>
      </c>
      <c r="I21" s="34" t="n">
        <f aca="false">SUM(Allen!I39,Mike!I39,Jonah!I39,Jarren!I39,Chance!I39,'Jonathan Mach'!I39,Zach!I39,Hayden!I39,Kyle!I39,'Jonathan Mather'!I39,Cameron!I39,Emmet!I39,Jackson!I39,Khai!I39,'Mario Q'!I39,Aaron!I39,Ian!I39,Charlie!I39,'Mario S'!I39,David!I39)</f>
        <v>0</v>
      </c>
      <c r="J21" s="34" t="n">
        <f aca="false">SUM(Allen!J39,Mike!J39,Jonah!J39,Jarren!J39,Chance!J39,'Jonathan Mach'!J39,Zach!J39,Hayden!J39,Kyle!J39,'Jonathan Mather'!J39,Cameron!J39,Emmet!J39,Jackson!J39,Khai!J39,'Mario Q'!J39,Aaron!J39,Ian!J39,Charlie!J39,'Mario S'!J39,David!J39)</f>
        <v>0</v>
      </c>
      <c r="K21" s="34" t="n">
        <f aca="false">SUM(Allen!K39,Mike!K39,Jonah!K39,Jarren!K39,Chance!K39,'Jonathan Mach'!K39,Zach!K39,Hayden!K39,Kyle!K39,'Jonathan Mather'!K39,Cameron!K39,Emmet!K39,Jackson!K39,Khai!K39,'Mario Q'!K39,Aaron!K39,Ian!K39,Charlie!K39,'Mario S'!K39,David!K39)</f>
        <v>0</v>
      </c>
      <c r="L21" s="34" t="n">
        <f aca="false">SUM(Allen!L39,Mike!L39,Jonah!L39,Jarren!L39,Chance!L39,'Jonathan Mach'!L39,Zach!L39,Hayden!L39,Kyle!L39,'Jonathan Mather'!L39,Cameron!L39,Emmet!L39,Jackson!L39,Khai!L39,'Mario Q'!L39,Aaron!L39,Ian!L39,Charlie!L39,'Mario S'!L39,David!L39)</f>
        <v>2</v>
      </c>
      <c r="M21" s="34" t="n">
        <f aca="false">SUM(Allen!M39,Mike!M39,Jonah!M39,Jarren!M39,Chance!M39,'Jonathan Mach'!M39,Zach!M39,Hayden!M39,Kyle!M39,'Jonathan Mather'!M39,Cameron!M39,Emmet!M39,Jackson!M39,Khai!M39,'Mario Q'!M39,Aaron!M39,Ian!M39,Charlie!M39,'Mario S'!M39,David!M39)</f>
        <v>2</v>
      </c>
      <c r="N21" s="34" t="n">
        <f aca="false">SUM(Allen!N39,Mike!N39,Jonah!N39,Jarren!N39,Chance!N39,'Jonathan Mach'!N39,Zach!N39,Hayden!N39,Kyle!N39,'Jonathan Mather'!N39,Cameron!N39,Emmet!N39,Jackson!N39,Khai!N39,'Mario Q'!N39,Aaron!N39,Ian!N39,Charlie!N39,'Mario S'!N39,David!N39)</f>
        <v>4</v>
      </c>
      <c r="O21" s="34" t="n">
        <f aca="false">SUM(Allen!O39,Mike!O39,Jonah!O39,Jarren!O39,Chance!O39,'Jonathan Mach'!O39,Zach!O39,Hayden!O39,Kyle!O39,'Jonathan Mather'!O39,Cameron!O39,Emmet!O39,Jackson!O39,Khai!O39,'Mario Q'!O39,Aaron!O39,Ian!O39,Charlie!O39,'Mario S'!O39,David!O39)</f>
        <v>4</v>
      </c>
      <c r="P21" s="34" t="n">
        <f aca="false">SUM(Allen!P39,Mike!P39,Jonah!P39,Jarren!P39,Chance!P39,'Jonathan Mach'!P39,Zach!P39,Hayden!P39,Kyle!P39,'Jonathan Mather'!P39,Cameron!P39,Emmet!P39,Jackson!P39,Khai!P39,'Mario Q'!P39,Aaron!P39,Ian!P39,Charlie!P39,'Mario S'!P39,David!P39)</f>
        <v>4</v>
      </c>
      <c r="Q21" s="34" t="n">
        <f aca="false">SUM(Allen!Q39,Mike!Q39,Jonah!Q39,Jarren!Q39,Chance!Q39,'Jonathan Mach'!Q39,Zach!Q39,Hayden!Q39,Kyle!Q39,'Jonathan Mather'!Q39,Cameron!Q39,Emmet!Q39,Jackson!Q39,Khai!Q39,'Mario Q'!Q39,Aaron!Q39,Ian!Q39,Charlie!Q39,'Mario S'!Q39,David!Q39)</f>
        <v>4</v>
      </c>
      <c r="R21" s="34" t="n">
        <f aca="false">SUM(Allen!R39,Mike!R39,Jonah!R39,Jarren!R39,Chance!R39,'Jonathan Mach'!R39,Zach!R39,Hayden!R39,Kyle!R39,'Jonathan Mather'!R39,Cameron!R39,Emmet!R39,Jackson!R39,Khai!R39,'Mario Q'!R39,Aaron!R39,Ian!R39,Charlie!R39,'Mario S'!R39,David!R39)</f>
        <v>4</v>
      </c>
      <c r="S21" s="34" t="n">
        <f aca="false">SUM(Allen!S39,Mike!S39,Jonah!S39,Jarren!S39,Chance!S39,'Jonathan Mach'!S39,Zach!S39,Hayden!S39,Kyle!S39,'Jonathan Mather'!S39,Cameron!S39,Emmet!S39,Jackson!S39,Khai!S39,'Mario Q'!S39,Aaron!S39,Ian!S39,Charlie!S39,'Mario S'!S39,David!S39)</f>
        <v>3</v>
      </c>
      <c r="T21" s="34" t="n">
        <f aca="false">SUM(Allen!T39,Mike!T39,Jonah!T39,Jarren!T39,Chance!T39,'Jonathan Mach'!T39,Zach!T39,Hayden!T39,Kyle!T39,'Jonathan Mather'!T39,Cameron!T39,Emmet!T39,Jackson!T39,Khai!T39,'Mario Q'!T39,Aaron!T39,Ian!T39,Charlie!T39,'Mario S'!T39,David!T39)</f>
        <v>3</v>
      </c>
      <c r="U21" s="34" t="n">
        <f aca="false">SUM(Allen!U39,Mike!U39,Jonah!U39,Jarren!U39,Chance!U39,'Jonathan Mach'!U39,Zach!U39,Hayden!U39,Kyle!U39,'Jonathan Mather'!U39,Cameron!U39,Emmet!U39,Jackson!U39,Khai!U39,'Mario Q'!U39,Aaron!U39,Ian!U39,Charlie!U39,'Mario S'!U39,David!U39)</f>
        <v>3</v>
      </c>
      <c r="V21" s="34" t="n">
        <f aca="false">SUM(Allen!V39,Mike!V39,Jonah!V39,Jarren!V39,Chance!V39,'Jonathan Mach'!V39,Zach!V39,Hayden!V39,Kyle!V39,'Jonathan Mather'!V39,Cameron!V39,Emmet!V39,Jackson!V39,Khai!V39,'Mario Q'!V39,Aaron!V39,Ian!V39,Charlie!V39,'Mario S'!V39,David!V39)</f>
        <v>3</v>
      </c>
      <c r="W21" s="34" t="n">
        <f aca="false">SUM(Allen!W39,Mike!W39,Jonah!W39,Jarren!W39,Chance!W39,'Jonathan Mach'!W39,Zach!W39,Hayden!W39,Kyle!W39,'Jonathan Mather'!W39,Cameron!W39,Emmet!W39,Jackson!W39,Khai!W39,'Mario Q'!W39,Aaron!W39,Ian!W39,Charlie!W39,'Mario S'!W39,David!W39)</f>
        <v>3</v>
      </c>
      <c r="X21" s="34" t="n">
        <f aca="false">SUM(Allen!X39,Mike!X39,Jonah!X39,Jarren!X39,Chance!X39,'Jonathan Mach'!X39,Zach!X39,Hayden!X39,Kyle!X39,'Jonathan Mather'!X39,Cameron!X39,Emmet!X39,Jackson!X39,Khai!X39,'Mario Q'!X39,Aaron!X39,Ian!X39,Charlie!X39,'Mario S'!X39,David!X39)</f>
        <v>3</v>
      </c>
      <c r="Y21" s="34" t="n">
        <f aca="false">SUM(Allen!Y39,Mike!Y39,Jonah!Y39,Jarren!Y39,Chance!Y39,'Jonathan Mach'!Y39,Zach!Y39,Hayden!Y39,Kyle!Y39,'Jonathan Mather'!Y39,Cameron!Y39,Emmet!Y39,Jackson!Y39,Khai!Y39,'Mario Q'!Y39,Aaron!Y39,Ian!Y39,Charlie!Y39,'Mario S'!Y39,David!Y39)</f>
        <v>3</v>
      </c>
    </row>
    <row r="22" customFormat="false" ht="15.75" hidden="false" customHeight="true" outlineLevel="0" collapsed="false">
      <c r="A22" s="33" t="s">
        <v>76</v>
      </c>
      <c r="B22" s="34" t="n">
        <f aca="false">SUM(Allen!B40,Mike!B40,Jonah!B40,Jarren!B40,Chance!B40,'Jonathan Mach'!B40,Zach!B40,Hayden!B40,Kyle!B40,'Jonathan Mather'!B40,Cameron!B40,Emmet!B40,Jackson!B40,Khai!B40,'Mario Q'!B40,Aaron!B40,Ian!B40,Charlie!B40,'Mario S'!B40,David!B40)</f>
        <v>0</v>
      </c>
      <c r="C22" s="34" t="n">
        <f aca="false">SUM(Allen!C40,Mike!C40,Jonah!C40,Jarren!C40,Chance!C40,'Jonathan Mach'!C40,Zach!C40,Hayden!C40,Kyle!C40,'Jonathan Mather'!C40,Cameron!C40,Emmet!C40,Jackson!C40,Khai!C40,'Mario Q'!C40,Aaron!C40,Ian!C40,Charlie!C40,'Mario S'!C40,David!C40)</f>
        <v>0</v>
      </c>
      <c r="D22" s="34" t="n">
        <f aca="false">SUM(Allen!D40,Mike!D40,Jonah!D40,Jarren!D40,Chance!D40,'Jonathan Mach'!D40,Zach!D40,Hayden!D40,Kyle!D40,'Jonathan Mather'!D40,Cameron!D40,Emmet!D40,Jackson!D40,Khai!D40,'Mario Q'!D40,Aaron!D40,Ian!D40,Charlie!D40,'Mario S'!D40,David!D40)</f>
        <v>0</v>
      </c>
      <c r="E22" s="34" t="n">
        <f aca="false">SUM(Allen!E40,Mike!E40,Jonah!E40,Jarren!E40,Chance!E40,'Jonathan Mach'!E40,Zach!E40,Hayden!E40,Kyle!E40,'Jonathan Mather'!E40,Cameron!E40,Emmet!E40,Jackson!E40,Khai!E40,'Mario Q'!E40,Aaron!E40,Ian!E40,Charlie!E40,'Mario S'!E40,David!E40)</f>
        <v>0</v>
      </c>
      <c r="F22" s="34" t="n">
        <f aca="false">SUM(Allen!F40,Mike!F40,Jonah!F40,Jarren!F40,Chance!F40,'Jonathan Mach'!F40,Zach!F40,Hayden!F40,Kyle!F40,'Jonathan Mather'!F40,Cameron!F40,Emmet!F40,Jackson!F40,Khai!F40,'Mario Q'!F40,Aaron!F40,Ian!F40,Charlie!F40,'Mario S'!F40,David!F40)</f>
        <v>0</v>
      </c>
      <c r="G22" s="34" t="n">
        <f aca="false">SUM(Allen!G40,Mike!G40,Jonah!G40,Jarren!G40,Chance!G40,'Jonathan Mach'!G40,Zach!G40,Hayden!G40,Kyle!G40,'Jonathan Mather'!G40,Cameron!G40,Emmet!G40,Jackson!G40,Khai!G40,'Mario Q'!G40,Aaron!G40,Ian!G40,Charlie!G40,'Mario S'!G40,David!G40)</f>
        <v>0</v>
      </c>
      <c r="H22" s="38"/>
      <c r="I22" s="38"/>
      <c r="J22" s="38"/>
      <c r="K22" s="38"/>
      <c r="L22" s="34" t="n">
        <f aca="false">SUM(Allen!L40,Mike!L40,Jonah!L40,Jarren!L40,Chance!L40,'Jonathan Mach'!L40,Zach!L40,Hayden!L40,Kyle!L40,'Jonathan Mather'!L40,Cameron!L40,Emmet!L40,Jackson!L40,Khai!L40,'Mario Q'!L40,Aaron!L40,Ian!L40,Charlie!L40,'Mario S'!L40,David!L40)</f>
        <v>0</v>
      </c>
      <c r="M22" s="34" t="n">
        <f aca="false">SUM(Allen!M40,Mike!M40,Jonah!M40,Jarren!M40,Chance!M40,'Jonathan Mach'!M40,Zach!M40,Hayden!M40,Kyle!M40,'Jonathan Mather'!M40,Cameron!M40,Emmet!M40,Jackson!M40,Khai!M40,'Mario Q'!M40,Aaron!M40,Ian!M40,Charlie!M40,'Mario S'!M40,David!M40)</f>
        <v>0</v>
      </c>
      <c r="N22" s="34" t="n">
        <f aca="false">SUM(Allen!N40,Mike!N40,Jonah!N40,Jarren!N40,Chance!N40,'Jonathan Mach'!N40,Zach!N40,Hayden!N40,Kyle!N40,'Jonathan Mather'!N40,Cameron!N40,Emmet!N40,Jackson!N40,Khai!N40,'Mario Q'!N40,Aaron!N40,Ian!N40,Charlie!N40,'Mario S'!N40,David!N40)</f>
        <v>0</v>
      </c>
      <c r="O22" s="34" t="n">
        <f aca="false">SUM(Allen!O40,Mike!O40,Jonah!O40,Jarren!O40,Chance!O40,'Jonathan Mach'!O40,Zach!O40,Hayden!O40,Kyle!O40,'Jonathan Mather'!O40,Cameron!O40,Emmet!O40,Jackson!O40,Khai!O40,'Mario Q'!O40,Aaron!O40,Ian!O40,Charlie!O40,'Mario S'!O40,David!O40)</f>
        <v>0</v>
      </c>
      <c r="P22" s="34" t="n">
        <f aca="false">SUM(Allen!P40,Mike!P40,Jonah!P40,Jarren!P40,Chance!P40,'Jonathan Mach'!P40,Zach!P40,Hayden!P40,Kyle!P40,'Jonathan Mather'!P40,Cameron!P40,Emmet!P40,Jackson!P40,Khai!P40,'Mario Q'!P40,Aaron!P40,Ian!P40,Charlie!P40,'Mario S'!P40,David!P40)</f>
        <v>0</v>
      </c>
      <c r="Q22" s="34" t="n">
        <f aca="false">SUM(Allen!Q40,Mike!Q40,Jonah!Q40,Jarren!Q40,Chance!Q40,'Jonathan Mach'!Q40,Zach!Q40,Hayden!Q40,Kyle!Q40,'Jonathan Mather'!Q40,Cameron!Q40,Emmet!Q40,Jackson!Q40,Khai!Q40,'Mario Q'!Q40,Aaron!Q40,Ian!Q40,Charlie!Q40,'Mario S'!Q40,David!Q40)</f>
        <v>0</v>
      </c>
      <c r="R22" s="34" t="n">
        <f aca="false">SUM(Allen!R40,Mike!R40,Jonah!R40,Jarren!R40,Chance!R40,'Jonathan Mach'!R40,Zach!R40,Hayden!R40,Kyle!R40,'Jonathan Mather'!R40,Cameron!R40,Emmet!R40,Jackson!R40,Khai!R40,'Mario Q'!R40,Aaron!R40,Ian!R40,Charlie!R40,'Mario S'!R40,David!R40)</f>
        <v>0</v>
      </c>
      <c r="S22" s="34" t="n">
        <f aca="false">SUM(Allen!S40,Mike!S40,Jonah!S40,Jarren!S40,Chance!S40,'Jonathan Mach'!S40,Zach!S40,Hayden!S40,Kyle!S40,'Jonathan Mather'!S40,Cameron!S40,Emmet!S40,Jackson!S40,Khai!S40,'Mario Q'!S40,Aaron!S40,Ian!S40,Charlie!S40,'Mario S'!S40,David!S40)</f>
        <v>0</v>
      </c>
      <c r="T22" s="34" t="n">
        <f aca="false">SUM(Allen!T40,Mike!T40,Jonah!T40,Jarren!T40,Chance!T40,'Jonathan Mach'!T40,Zach!T40,Hayden!T40,Kyle!T40,'Jonathan Mather'!T40,Cameron!T40,Emmet!T40,Jackson!T40,Khai!T40,'Mario Q'!T40,Aaron!T40,Ian!T40,Charlie!T40,'Mario S'!T40,David!T40)</f>
        <v>0</v>
      </c>
      <c r="U22" s="34" t="n">
        <f aca="false">SUM(Allen!U40,Mike!U40,Jonah!U40,Jarren!U40,Chance!U40,'Jonathan Mach'!U40,Zach!U40,Hayden!U40,Kyle!U40,'Jonathan Mather'!U40,Cameron!U40,Emmet!U40,Jackson!U40,Khai!U40,'Mario Q'!U40,Aaron!U40,Ian!U40,Charlie!U40,'Mario S'!U40,David!U40)</f>
        <v>0</v>
      </c>
      <c r="V22" s="34" t="n">
        <f aca="false">SUM(Allen!V40,Mike!V40,Jonah!V40,Jarren!V40,Chance!V40,'Jonathan Mach'!V40,Zach!V40,Hayden!V40,Kyle!V40,'Jonathan Mather'!V40,Cameron!V40,Emmet!V40,Jackson!V40,Khai!V40,'Mario Q'!V40,Aaron!V40,Ian!V40,Charlie!V40,'Mario S'!V40,David!V40)</f>
        <v>0</v>
      </c>
      <c r="W22" s="34" t="n">
        <f aca="false">SUM(Allen!W40,Mike!W40,Jonah!W40,Jarren!W40,Chance!W40,'Jonathan Mach'!W40,Zach!W40,Hayden!W40,Kyle!W40,'Jonathan Mather'!W40,Cameron!W40,Emmet!W40,Jackson!W40,Khai!W40,'Mario Q'!W40,Aaron!W40,Ian!W40,Charlie!W40,'Mario S'!W40,David!W40)</f>
        <v>0</v>
      </c>
      <c r="X22" s="34" t="n">
        <f aca="false">SUM(Allen!X40,Mike!X40,Jonah!X40,Jarren!X40,Chance!X40,'Jonathan Mach'!X40,Zach!X40,Hayden!X40,Kyle!X40,'Jonathan Mather'!X40,Cameron!X40,Emmet!X40,Jackson!X40,Khai!X40,'Mario Q'!X40,Aaron!X40,Ian!X40,Charlie!X40,'Mario S'!X40,David!X40)</f>
        <v>0</v>
      </c>
      <c r="Y22" s="34" t="n">
        <f aca="false">SUM(Allen!Y40,Mike!Y40,Jonah!Y40,Jarren!Y40,Chance!Y40,'Jonathan Mach'!Y40,Zach!Y40,Hayden!Y40,Kyle!Y40,'Jonathan Mather'!Y40,Cameron!Y40,Emmet!Y40,Jackson!Y40,Khai!Y40,'Mario Q'!Y40,Aaron!Y40,Ian!Y40,Charlie!Y40,'Mario S'!Y40,David!Y40)</f>
        <v>0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31" t="s">
        <v>174</v>
      </c>
    </row>
    <row r="25" customFormat="false" ht="15.75" hidden="false" customHeight="true" outlineLevel="0" collapsed="false">
      <c r="A25" s="33" t="s">
        <v>24</v>
      </c>
      <c r="B25" s="34" t="n">
        <f aca="false">B4+B11</f>
        <v>3</v>
      </c>
      <c r="C25" s="34" t="n">
        <f aca="false">C4+C11</f>
        <v>3</v>
      </c>
      <c r="D25" s="34" t="n">
        <f aca="false">D4+D11</f>
        <v>6</v>
      </c>
      <c r="E25" s="34" t="n">
        <f aca="false">E4+E11</f>
        <v>7</v>
      </c>
      <c r="F25" s="34" t="n">
        <f aca="false">F4+F11</f>
        <v>5</v>
      </c>
      <c r="G25" s="34" t="n">
        <f aca="false">G4+G11</f>
        <v>3</v>
      </c>
      <c r="H25" s="34" t="n">
        <f aca="false">H4+H11</f>
        <v>6</v>
      </c>
      <c r="I25" s="34" t="n">
        <f aca="false">I4+I11</f>
        <v>7</v>
      </c>
      <c r="J25" s="34" t="n">
        <f aca="false">J4+J11</f>
        <v>7</v>
      </c>
      <c r="K25" s="34" t="n">
        <f aca="false">K4+K11</f>
        <v>7</v>
      </c>
      <c r="L25" s="34" t="n">
        <f aca="false">L4+L11</f>
        <v>9</v>
      </c>
      <c r="M25" s="34" t="n">
        <f aca="false">M4+M11</f>
        <v>10</v>
      </c>
      <c r="N25" s="34" t="n">
        <f aca="false">N4+N11</f>
        <v>12</v>
      </c>
      <c r="O25" s="34" t="n">
        <f aca="false">O4+O11</f>
        <v>9</v>
      </c>
      <c r="P25" s="34" t="n">
        <f aca="false">P4+P11</f>
        <v>7</v>
      </c>
      <c r="Q25" s="34" t="n">
        <f aca="false">Q4+Q11</f>
        <v>7</v>
      </c>
      <c r="R25" s="34" t="n">
        <f aca="false">R4+R11</f>
        <v>6</v>
      </c>
      <c r="S25" s="34" t="n">
        <f aca="false">S4+S11</f>
        <v>4</v>
      </c>
      <c r="T25" s="34" t="n">
        <f aca="false">T4+T11</f>
        <v>3</v>
      </c>
      <c r="U25" s="34" t="n">
        <f aca="false">U4+U11</f>
        <v>2</v>
      </c>
      <c r="V25" s="34" t="n">
        <f aca="false">V4+V11</f>
        <v>1</v>
      </c>
      <c r="W25" s="34" t="n">
        <f aca="false">W4+W11</f>
        <v>1</v>
      </c>
      <c r="X25" s="34" t="n">
        <f aca="false">X4+X11</f>
        <v>2</v>
      </c>
      <c r="Y25" s="34" t="n">
        <f aca="false">Y4+Y11</f>
        <v>2</v>
      </c>
    </row>
    <row r="26" customFormat="false" ht="15.75" hidden="false" customHeight="true" outlineLevel="0" collapsed="false">
      <c r="A26" s="33" t="s">
        <v>66</v>
      </c>
      <c r="B26" s="34" t="n">
        <f aca="false">B5+B12</f>
        <v>3</v>
      </c>
      <c r="C26" s="34" t="n">
        <f aca="false">C5+C12</f>
        <v>3</v>
      </c>
      <c r="D26" s="34" t="n">
        <f aca="false">D5+D12</f>
        <v>4</v>
      </c>
      <c r="E26" s="34" t="n">
        <f aca="false">E5+E12</f>
        <v>4</v>
      </c>
      <c r="F26" s="34" t="n">
        <f aca="false">F5+F12</f>
        <v>4</v>
      </c>
      <c r="G26" s="34" t="n">
        <f aca="false">G5+G12</f>
        <v>5</v>
      </c>
      <c r="H26" s="34" t="n">
        <f aca="false">H5+H12</f>
        <v>11</v>
      </c>
      <c r="I26" s="34" t="n">
        <f aca="false">I5+I12</f>
        <v>12</v>
      </c>
      <c r="J26" s="34" t="n">
        <f aca="false">J5+J12</f>
        <v>13</v>
      </c>
      <c r="K26" s="34" t="n">
        <f aca="false">K5+K12</f>
        <v>13</v>
      </c>
      <c r="L26" s="34" t="n">
        <f aca="false">L5+L12</f>
        <v>12</v>
      </c>
      <c r="M26" s="34" t="n">
        <f aca="false">M5+M12</f>
        <v>12</v>
      </c>
      <c r="N26" s="34" t="n">
        <f aca="false">N5+N12</f>
        <v>14</v>
      </c>
      <c r="O26" s="34" t="n">
        <f aca="false">O5+O12</f>
        <v>10</v>
      </c>
      <c r="P26" s="34" t="n">
        <f aca="false">P5+P12</f>
        <v>9</v>
      </c>
      <c r="Q26" s="34" t="n">
        <f aca="false">Q5+Q12</f>
        <v>8</v>
      </c>
      <c r="R26" s="34" t="n">
        <f aca="false">R5+R12</f>
        <v>8</v>
      </c>
      <c r="S26" s="34" t="n">
        <f aca="false">S5+S12</f>
        <v>8</v>
      </c>
      <c r="T26" s="34" t="n">
        <f aca="false">T5+T12</f>
        <v>5</v>
      </c>
      <c r="U26" s="34" t="n">
        <f aca="false">U5+U12</f>
        <v>4</v>
      </c>
      <c r="V26" s="34" t="n">
        <f aca="false">V5+V12</f>
        <v>2</v>
      </c>
      <c r="W26" s="34" t="n">
        <f aca="false">W5+W12</f>
        <v>2</v>
      </c>
      <c r="X26" s="34" t="n">
        <f aca="false">X5+X12</f>
        <v>2</v>
      </c>
      <c r="Y26" s="34" t="n">
        <f aca="false">Y5+Y12</f>
        <v>2</v>
      </c>
    </row>
    <row r="27" customFormat="false" ht="15.75" hidden="false" customHeight="true" outlineLevel="0" collapsed="false">
      <c r="A27" s="33" t="s">
        <v>73</v>
      </c>
      <c r="B27" s="34" t="n">
        <f aca="false">B6+B13</f>
        <v>3</v>
      </c>
      <c r="C27" s="34" t="n">
        <f aca="false">C6+C13</f>
        <v>3</v>
      </c>
      <c r="D27" s="34" t="n">
        <f aca="false">D6+D13</f>
        <v>6</v>
      </c>
      <c r="E27" s="34" t="n">
        <f aca="false">E6+E13</f>
        <v>7</v>
      </c>
      <c r="F27" s="34" t="n">
        <f aca="false">F6+F13</f>
        <v>6</v>
      </c>
      <c r="G27" s="34" t="n">
        <f aca="false">G6+G13</f>
        <v>4</v>
      </c>
      <c r="H27" s="34" t="n">
        <f aca="false">H6+H13</f>
        <v>7</v>
      </c>
      <c r="I27" s="34" t="n">
        <f aca="false">I6+I13</f>
        <v>8</v>
      </c>
      <c r="J27" s="34" t="n">
        <f aca="false">J6+J13</f>
        <v>8</v>
      </c>
      <c r="K27" s="34" t="n">
        <f aca="false">K6+K13</f>
        <v>8</v>
      </c>
      <c r="L27" s="34" t="n">
        <f aca="false">L6+L13</f>
        <v>9</v>
      </c>
      <c r="M27" s="34" t="n">
        <f aca="false">M6+M13</f>
        <v>10</v>
      </c>
      <c r="N27" s="34" t="n">
        <f aca="false">N6+N13</f>
        <v>13</v>
      </c>
      <c r="O27" s="34" t="n">
        <f aca="false">O6+O13</f>
        <v>10</v>
      </c>
      <c r="P27" s="34" t="n">
        <f aca="false">P6+P13</f>
        <v>8</v>
      </c>
      <c r="Q27" s="34" t="n">
        <f aca="false">Q6+Q13</f>
        <v>8</v>
      </c>
      <c r="R27" s="34" t="n">
        <f aca="false">R6+R13</f>
        <v>8</v>
      </c>
      <c r="S27" s="34" t="n">
        <f aca="false">S6+S13</f>
        <v>6</v>
      </c>
      <c r="T27" s="34" t="n">
        <f aca="false">T6+T13</f>
        <v>7</v>
      </c>
      <c r="U27" s="34" t="n">
        <f aca="false">U6+U13</f>
        <v>6</v>
      </c>
      <c r="V27" s="38"/>
      <c r="W27" s="38"/>
      <c r="X27" s="38"/>
      <c r="Y27" s="38"/>
    </row>
    <row r="28" customFormat="false" ht="15.75" hidden="false" customHeight="true" outlineLevel="0" collapsed="false">
      <c r="A28" s="33" t="s">
        <v>75</v>
      </c>
      <c r="B28" s="34" t="n">
        <f aca="false">B7+B14</f>
        <v>3</v>
      </c>
      <c r="C28" s="34" t="n">
        <f aca="false">C7+C14</f>
        <v>3</v>
      </c>
      <c r="D28" s="34" t="n">
        <f aca="false">D7+D14</f>
        <v>4</v>
      </c>
      <c r="E28" s="34" t="n">
        <f aca="false">E7+E14</f>
        <v>4</v>
      </c>
      <c r="F28" s="34" t="n">
        <f aca="false">F7+F14</f>
        <v>4</v>
      </c>
      <c r="G28" s="34" t="n">
        <f aca="false">G7+G14</f>
        <v>5</v>
      </c>
      <c r="H28" s="34" t="n">
        <f aca="false">H7+H14</f>
        <v>10</v>
      </c>
      <c r="I28" s="34" t="n">
        <f aca="false">I7+I14</f>
        <v>10</v>
      </c>
      <c r="J28" s="34" t="n">
        <f aca="false">J7+J14</f>
        <v>11</v>
      </c>
      <c r="K28" s="34" t="n">
        <f aca="false">K7+K14</f>
        <v>11</v>
      </c>
      <c r="L28" s="34" t="n">
        <f aca="false">L7+L14</f>
        <v>9</v>
      </c>
      <c r="M28" s="34" t="n">
        <f aca="false">M7+M14</f>
        <v>9</v>
      </c>
      <c r="N28" s="34" t="n">
        <f aca="false">N7+N14</f>
        <v>11</v>
      </c>
      <c r="O28" s="34" t="n">
        <f aca="false">O7+O14</f>
        <v>7</v>
      </c>
      <c r="P28" s="34" t="n">
        <f aca="false">P7+P14</f>
        <v>7</v>
      </c>
      <c r="Q28" s="34" t="n">
        <f aca="false">Q7+Q14</f>
        <v>7</v>
      </c>
      <c r="R28" s="34" t="n">
        <f aca="false">R7+R14</f>
        <v>7</v>
      </c>
      <c r="S28" s="34" t="n">
        <f aca="false">S7+S14</f>
        <v>7</v>
      </c>
      <c r="T28" s="34" t="n">
        <f aca="false">T7+T14</f>
        <v>4</v>
      </c>
      <c r="U28" s="34" t="n">
        <f aca="false">U7+U14</f>
        <v>3</v>
      </c>
      <c r="V28" s="34" t="n">
        <f aca="false">V7+V14</f>
        <v>1</v>
      </c>
      <c r="W28" s="34" t="n">
        <f aca="false">W7+W14</f>
        <v>1</v>
      </c>
      <c r="X28" s="34" t="n">
        <f aca="false">X7+X14</f>
        <v>1</v>
      </c>
      <c r="Y28" s="34" t="n">
        <f aca="false">Y7+Y14</f>
        <v>1</v>
      </c>
    </row>
    <row r="29" customFormat="false" ht="15.75" hidden="false" customHeight="true" outlineLevel="0" collapsed="false">
      <c r="A29" s="33" t="s">
        <v>76</v>
      </c>
      <c r="B29" s="34" t="n">
        <f aca="false">B8+B15</f>
        <v>3</v>
      </c>
      <c r="C29" s="34" t="n">
        <f aca="false">C8+C15</f>
        <v>3</v>
      </c>
      <c r="D29" s="34" t="n">
        <f aca="false">D8+D15</f>
        <v>5</v>
      </c>
      <c r="E29" s="34" t="n">
        <f aca="false">E8+E15</f>
        <v>5</v>
      </c>
      <c r="F29" s="34" t="n">
        <f aca="false">F8+F15</f>
        <v>5</v>
      </c>
      <c r="G29" s="34" t="n">
        <f aca="false">G8+G15</f>
        <v>5</v>
      </c>
      <c r="H29" s="38"/>
      <c r="I29" s="38"/>
      <c r="J29" s="38"/>
      <c r="K29" s="38"/>
      <c r="L29" s="34" t="n">
        <f aca="false">L8+L15</f>
        <v>8</v>
      </c>
      <c r="M29" s="34" t="n">
        <f aca="false">M8+M15</f>
        <v>8</v>
      </c>
      <c r="N29" s="34" t="n">
        <f aca="false">N8+N15</f>
        <v>6</v>
      </c>
      <c r="O29" s="34" t="n">
        <f aca="false">O8+O15</f>
        <v>5</v>
      </c>
      <c r="P29" s="34" t="n">
        <f aca="false">P8+P15</f>
        <v>7</v>
      </c>
      <c r="Q29" s="34" t="n">
        <f aca="false">Q8+Q15</f>
        <v>7</v>
      </c>
      <c r="R29" s="34" t="n">
        <f aca="false">R8+R15</f>
        <v>6</v>
      </c>
      <c r="S29" s="34" t="n">
        <f aca="false">S8+S15</f>
        <v>5</v>
      </c>
      <c r="T29" s="34" t="n">
        <f aca="false">T8+T15</f>
        <v>3</v>
      </c>
      <c r="U29" s="34" t="n">
        <f aca="false">U8+U15</f>
        <v>2</v>
      </c>
      <c r="V29" s="34" t="n">
        <f aca="false">V8+V15</f>
        <v>2</v>
      </c>
      <c r="W29" s="34" t="n">
        <f aca="false">W8+W15</f>
        <v>2</v>
      </c>
      <c r="X29" s="34" t="n">
        <f aca="false">X8+X15</f>
        <v>1</v>
      </c>
      <c r="Y29" s="34" t="n">
        <f aca="false">Y8+Y15</f>
        <v>1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A3">
    <cfRule type="cellIs" priority="2" operator="equal" aboveAverage="0" equalAverage="0" bottom="0" percent="0" rank="0" text="" dxfId="26">
      <formula>$A$3</formula>
    </cfRule>
  </conditionalFormatting>
  <conditionalFormatting sqref="A10">
    <cfRule type="cellIs" priority="3" operator="equal" aboveAverage="0" equalAverage="0" bottom="0" percent="0" rank="0" text="" dxfId="27">
      <formula>$A$10</formula>
    </cfRule>
  </conditionalFormatting>
  <conditionalFormatting sqref="A17 A24">
    <cfRule type="cellIs" priority="4" operator="equal" aboveAverage="0" equalAverage="0" bottom="0" percent="0" rank="0" text="" dxfId="28">
      <formula>$A$17</formula>
    </cfRule>
  </conditionalFormatting>
  <conditionalFormatting sqref="B4:Y8 B11:Y15 B25:Y29">
    <cfRule type="colorScale" priority="5">
      <colorScale>
        <cfvo type="formula" val="0"/>
        <cfvo type="formula" val="1"/>
        <cfvo type="formula" val="2"/>
        <color rgb="FFF8696B"/>
        <color rgb="FFFFEB84"/>
        <color rgb="FF63BE7B"/>
      </colorScale>
    </cfRule>
  </conditionalFormatting>
  <conditionalFormatting sqref="B18:Y22">
    <cfRule type="cellIs" priority="6" operator="greaterThan" aboveAverage="0" equalAverage="0" bottom="0" percent="0" rank="0" text="" dxfId="29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175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 t="s">
        <v>167</v>
      </c>
      <c r="C4" s="34" t="s">
        <v>167</v>
      </c>
      <c r="D4" s="34" t="s">
        <v>167</v>
      </c>
      <c r="E4" s="34" t="s">
        <v>167</v>
      </c>
      <c r="F4" s="34" t="s">
        <v>167</v>
      </c>
      <c r="G4" s="34" t="s">
        <v>167</v>
      </c>
      <c r="H4" s="34" t="s">
        <v>167</v>
      </c>
      <c r="I4" s="34" t="s">
        <v>167</v>
      </c>
      <c r="J4" s="34" t="s">
        <v>167</v>
      </c>
      <c r="K4" s="34"/>
      <c r="L4" s="34"/>
      <c r="M4" s="34"/>
      <c r="N4" s="34"/>
      <c r="O4" s="34"/>
      <c r="P4" s="34" t="s">
        <v>167</v>
      </c>
      <c r="Q4" s="34" t="s">
        <v>167</v>
      </c>
      <c r="R4" s="34" t="s">
        <v>167</v>
      </c>
      <c r="S4" s="34"/>
      <c r="T4" s="34"/>
      <c r="U4" s="34"/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 t="s">
        <v>167</v>
      </c>
      <c r="C5" s="34" t="s">
        <v>167</v>
      </c>
      <c r="D5" s="34" t="s">
        <v>147</v>
      </c>
      <c r="E5" s="34" t="s">
        <v>147</v>
      </c>
      <c r="F5" s="34" t="s">
        <v>147</v>
      </c>
      <c r="G5" s="34" t="s">
        <v>147</v>
      </c>
      <c r="H5" s="34" t="s">
        <v>147</v>
      </c>
      <c r="I5" s="34" t="s">
        <v>147</v>
      </c>
      <c r="J5" s="34" t="s">
        <v>147</v>
      </c>
      <c r="K5" s="34" t="s">
        <v>147</v>
      </c>
      <c r="L5" s="34" t="s">
        <v>167</v>
      </c>
      <c r="M5" s="34" t="s">
        <v>167</v>
      </c>
      <c r="N5" s="34" t="s">
        <v>167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 t="s">
        <v>167</v>
      </c>
      <c r="C6" s="34" t="s">
        <v>167</v>
      </c>
      <c r="D6" s="34" t="s">
        <v>167</v>
      </c>
      <c r="E6" s="34" t="s">
        <v>167</v>
      </c>
      <c r="F6" s="34" t="s">
        <v>167</v>
      </c>
      <c r="G6" s="34" t="s">
        <v>167</v>
      </c>
      <c r="H6" s="34" t="s">
        <v>167</v>
      </c>
      <c r="I6" s="34" t="s">
        <v>167</v>
      </c>
      <c r="J6" s="34" t="s">
        <v>167</v>
      </c>
      <c r="K6" s="34"/>
      <c r="L6" s="34"/>
      <c r="M6" s="34"/>
      <c r="N6" s="34"/>
      <c r="O6" s="34"/>
      <c r="P6" s="34" t="s">
        <v>167</v>
      </c>
      <c r="Q6" s="34" t="s">
        <v>167</v>
      </c>
      <c r="R6" s="34" t="s">
        <v>167</v>
      </c>
      <c r="S6" s="34"/>
      <c r="T6" s="34"/>
      <c r="U6" s="34"/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 t="s">
        <v>167</v>
      </c>
      <c r="C7" s="34" t="s">
        <v>167</v>
      </c>
      <c r="D7" s="34" t="s">
        <v>147</v>
      </c>
      <c r="E7" s="34" t="s">
        <v>147</v>
      </c>
      <c r="F7" s="34" t="s">
        <v>147</v>
      </c>
      <c r="G7" s="34" t="s">
        <v>147</v>
      </c>
      <c r="H7" s="34" t="s">
        <v>147</v>
      </c>
      <c r="I7" s="34" t="s">
        <v>147</v>
      </c>
      <c r="J7" s="34" t="s">
        <v>147</v>
      </c>
      <c r="K7" s="34" t="s">
        <v>147</v>
      </c>
      <c r="L7" s="34" t="s">
        <v>167</v>
      </c>
      <c r="M7" s="34" t="s">
        <v>167</v>
      </c>
      <c r="N7" s="34" t="s">
        <v>167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 t="s">
        <v>167</v>
      </c>
      <c r="C8" s="34" t="s">
        <v>167</v>
      </c>
      <c r="D8" s="34" t="s">
        <v>167</v>
      </c>
      <c r="E8" s="34" t="s">
        <v>167</v>
      </c>
      <c r="F8" s="34" t="s">
        <v>167</v>
      </c>
      <c r="G8" s="34" t="s">
        <v>167</v>
      </c>
      <c r="H8" s="38"/>
      <c r="I8" s="38"/>
      <c r="J8" s="38"/>
      <c r="K8" s="38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20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28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1</v>
      </c>
      <c r="E23" s="31" t="n">
        <f aca="false">COUNTIF(E5,$A$22)</f>
        <v>1</v>
      </c>
      <c r="F23" s="31" t="n">
        <f aca="false">COUNTIF(F5,$A$22)</f>
        <v>1</v>
      </c>
      <c r="G23" s="31" t="n">
        <f aca="false">COUNTIF(G5,$A$22)</f>
        <v>1</v>
      </c>
      <c r="H23" s="31" t="n">
        <f aca="false">COUNTIF(H5,$A$22)</f>
        <v>1</v>
      </c>
      <c r="I23" s="31" t="n">
        <f aca="false">COUNTIF(I5,$A$22)</f>
        <v>1</v>
      </c>
      <c r="J23" s="31" t="n">
        <f aca="false">COUNTIF(J5,$A$22)</f>
        <v>1</v>
      </c>
      <c r="K23" s="31" t="n">
        <f aca="false">COUNTIF(K5,$A$22)</f>
        <v>1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1</v>
      </c>
      <c r="E25" s="31" t="n">
        <f aca="false">COUNTIF(E7,$A$22)</f>
        <v>1</v>
      </c>
      <c r="F25" s="31" t="n">
        <f aca="false">COUNTIF(F7,$A$22)</f>
        <v>1</v>
      </c>
      <c r="G25" s="31" t="n">
        <f aca="false">COUNTIF(G7,$A$22)</f>
        <v>1</v>
      </c>
      <c r="H25" s="31" t="n">
        <f aca="false">COUNTIF(H7,$A$22)</f>
        <v>1</v>
      </c>
      <c r="I25" s="31" t="n">
        <f aca="false">COUNTIF(I7,$A$22)</f>
        <v>1</v>
      </c>
      <c r="J25" s="31" t="n">
        <f aca="false">COUNTIF(J7,$A$22)</f>
        <v>1</v>
      </c>
      <c r="K25" s="31" t="n">
        <f aca="false">COUNTIF(K7,$A$22)</f>
        <v>1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1</v>
      </c>
      <c r="C29" s="31" t="n">
        <f aca="false">COUNTIF(C4,$A$29)</f>
        <v>1</v>
      </c>
      <c r="D29" s="31" t="n">
        <f aca="false">COUNTIF(D4,$A$29)</f>
        <v>1</v>
      </c>
      <c r="E29" s="31" t="n">
        <f aca="false">COUNTIF(E4,$A$29)</f>
        <v>1</v>
      </c>
      <c r="F29" s="31" t="n">
        <f aca="false">COUNTIF(F4,$A$29)</f>
        <v>1</v>
      </c>
      <c r="G29" s="31" t="n">
        <f aca="false">COUNTIF(G4,$A$29)</f>
        <v>1</v>
      </c>
      <c r="H29" s="31" t="n">
        <f aca="false">COUNTIF(H4,$A$29)</f>
        <v>1</v>
      </c>
      <c r="I29" s="31" t="n">
        <f aca="false">COUNTIF(I4,$A$29)</f>
        <v>1</v>
      </c>
      <c r="J29" s="31" t="n">
        <f aca="false">COUNTIF(J4,$A$29)</f>
        <v>1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1</v>
      </c>
      <c r="Q29" s="31" t="n">
        <f aca="false">COUNTIF(Q4,$A$29)</f>
        <v>1</v>
      </c>
      <c r="R29" s="31" t="n">
        <f aca="false">COUNTIF(R4,$A$29)</f>
        <v>1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1</v>
      </c>
      <c r="C30" s="31" t="n">
        <f aca="false">COUNTIF(C5,$A$29)</f>
        <v>1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1</v>
      </c>
      <c r="M30" s="31" t="n">
        <f aca="false">COUNTIF(M5,$A$29)</f>
        <v>1</v>
      </c>
      <c r="N30" s="31" t="n">
        <f aca="false">COUNTIF(N5,$A$29)</f>
        <v>1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1</v>
      </c>
      <c r="C31" s="31" t="n">
        <f aca="false">COUNTIF(C6,$A$29)</f>
        <v>1</v>
      </c>
      <c r="D31" s="31" t="n">
        <f aca="false">COUNTIF(D6,$A$29)</f>
        <v>1</v>
      </c>
      <c r="E31" s="31" t="n">
        <f aca="false">COUNTIF(E6,$A$29)</f>
        <v>1</v>
      </c>
      <c r="F31" s="31" t="n">
        <f aca="false">COUNTIF(F6,$A$29)</f>
        <v>1</v>
      </c>
      <c r="G31" s="31" t="n">
        <f aca="false">COUNTIF(G6,$A$29)</f>
        <v>1</v>
      </c>
      <c r="H31" s="31" t="n">
        <f aca="false">COUNTIF(H6,$A$29)</f>
        <v>1</v>
      </c>
      <c r="I31" s="31" t="n">
        <f aca="false">COUNTIF(I6,$A$29)</f>
        <v>1</v>
      </c>
      <c r="J31" s="31" t="n">
        <f aca="false">COUNTIF(J6,$A$29)</f>
        <v>1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1</v>
      </c>
      <c r="Q31" s="31" t="n">
        <f aca="false">COUNTIF(Q6,$A$29)</f>
        <v>1</v>
      </c>
      <c r="R31" s="31" t="n">
        <f aca="false">COUNTIF(R6,$A$29)</f>
        <v>1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1</v>
      </c>
      <c r="C32" s="31" t="n">
        <f aca="false">COUNTIF(C7,$A$29)</f>
        <v>1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1</v>
      </c>
      <c r="M32" s="31" t="n">
        <f aca="false">COUNTIF(M7,$A$29)</f>
        <v>1</v>
      </c>
      <c r="N32" s="31" t="n">
        <f aca="false">COUNTIF(N7,$A$29)</f>
        <v>1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1</v>
      </c>
      <c r="C33" s="31" t="n">
        <f aca="false">COUNTIF(C8,$A$29)</f>
        <v>1</v>
      </c>
      <c r="D33" s="31" t="n">
        <f aca="false">COUNTIF(D8,$A$29)</f>
        <v>1</v>
      </c>
      <c r="E33" s="31" t="n">
        <f aca="false">COUNTIF(E8,$A$29)</f>
        <v>1</v>
      </c>
      <c r="F33" s="31" t="n">
        <f aca="false">COUNTIF(F8,$A$29)</f>
        <v>1</v>
      </c>
      <c r="G33" s="31" t="n">
        <f aca="false">COUNTIF(G8,$A$29)</f>
        <v>1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191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/>
      <c r="E4" s="34"/>
      <c r="F4" s="34"/>
      <c r="G4" s="34"/>
      <c r="H4" s="34" t="s">
        <v>147</v>
      </c>
      <c r="I4" s="34" t="s">
        <v>147</v>
      </c>
      <c r="J4" s="34" t="s">
        <v>147</v>
      </c>
      <c r="K4" s="34" t="s">
        <v>147</v>
      </c>
      <c r="L4" s="34" t="s">
        <v>147</v>
      </c>
      <c r="M4" s="34" t="s">
        <v>147</v>
      </c>
      <c r="N4" s="34" t="s">
        <v>147</v>
      </c>
      <c r="O4" s="34" t="s">
        <v>147</v>
      </c>
      <c r="P4" s="34" t="s">
        <v>173</v>
      </c>
      <c r="Q4" s="34" t="s">
        <v>173</v>
      </c>
      <c r="R4" s="34" t="s">
        <v>173</v>
      </c>
      <c r="S4" s="34" t="s">
        <v>173</v>
      </c>
      <c r="T4" s="34" t="s">
        <v>173</v>
      </c>
      <c r="U4" s="34" t="s">
        <v>173</v>
      </c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4"/>
      <c r="E5" s="34"/>
      <c r="F5" s="34"/>
      <c r="G5" s="34"/>
      <c r="H5" s="34" t="s">
        <v>167</v>
      </c>
      <c r="I5" s="34" t="s">
        <v>167</v>
      </c>
      <c r="J5" s="34" t="s">
        <v>167</v>
      </c>
      <c r="K5" s="34" t="s">
        <v>167</v>
      </c>
      <c r="L5" s="34" t="s">
        <v>167</v>
      </c>
      <c r="M5" s="34" t="s">
        <v>167</v>
      </c>
      <c r="N5" s="34" t="s">
        <v>167</v>
      </c>
      <c r="O5" s="34" t="s">
        <v>167</v>
      </c>
      <c r="P5" s="34" t="s">
        <v>173</v>
      </c>
      <c r="Q5" s="34" t="s">
        <v>173</v>
      </c>
      <c r="R5" s="34" t="s">
        <v>173</v>
      </c>
      <c r="S5" s="34" t="s">
        <v>173</v>
      </c>
      <c r="T5" s="34" t="s">
        <v>173</v>
      </c>
      <c r="U5" s="34" t="s">
        <v>173</v>
      </c>
      <c r="V5" s="34"/>
      <c r="W5" s="34"/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/>
      <c r="E6" s="34"/>
      <c r="F6" s="34"/>
      <c r="G6" s="34"/>
      <c r="H6" s="34" t="s">
        <v>147</v>
      </c>
      <c r="I6" s="34" t="s">
        <v>147</v>
      </c>
      <c r="J6" s="34" t="s">
        <v>147</v>
      </c>
      <c r="K6" s="34" t="s">
        <v>147</v>
      </c>
      <c r="L6" s="34" t="s">
        <v>147</v>
      </c>
      <c r="M6" s="34" t="s">
        <v>147</v>
      </c>
      <c r="N6" s="34" t="s">
        <v>147</v>
      </c>
      <c r="O6" s="34" t="s">
        <v>147</v>
      </c>
      <c r="P6" s="34" t="s">
        <v>173</v>
      </c>
      <c r="Q6" s="34" t="s">
        <v>173</v>
      </c>
      <c r="R6" s="34" t="s">
        <v>173</v>
      </c>
      <c r="S6" s="34" t="s">
        <v>173</v>
      </c>
      <c r="T6" s="34" t="s">
        <v>173</v>
      </c>
      <c r="U6" s="34" t="s">
        <v>173</v>
      </c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4"/>
      <c r="E7" s="34"/>
      <c r="F7" s="34" t="s">
        <v>173</v>
      </c>
      <c r="G7" s="34" t="s">
        <v>173</v>
      </c>
      <c r="H7" s="34" t="s">
        <v>173</v>
      </c>
      <c r="I7" s="34" t="s">
        <v>173</v>
      </c>
      <c r="J7" s="34" t="s">
        <v>173</v>
      </c>
      <c r="K7" s="34" t="s">
        <v>173</v>
      </c>
      <c r="L7" s="34" t="s">
        <v>173</v>
      </c>
      <c r="M7" s="34" t="s">
        <v>173</v>
      </c>
      <c r="N7" s="34" t="s">
        <v>173</v>
      </c>
      <c r="O7" s="34" t="s">
        <v>173</v>
      </c>
      <c r="P7" s="34" t="s">
        <v>173</v>
      </c>
      <c r="Q7" s="34" t="s">
        <v>173</v>
      </c>
      <c r="R7" s="34" t="s">
        <v>173</v>
      </c>
      <c r="S7" s="34" t="s">
        <v>173</v>
      </c>
      <c r="T7" s="34" t="s">
        <v>173</v>
      </c>
      <c r="U7" s="34" t="s">
        <v>173</v>
      </c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/>
      <c r="E8" s="34"/>
      <c r="F8" s="34"/>
      <c r="G8" s="34"/>
      <c r="H8" s="38"/>
      <c r="I8" s="38"/>
      <c r="J8" s="38"/>
      <c r="K8" s="38"/>
      <c r="L8" s="34"/>
      <c r="M8" s="34"/>
      <c r="N8" s="34" t="s">
        <v>173</v>
      </c>
      <c r="O8" s="34" t="s">
        <v>173</v>
      </c>
      <c r="P8" s="34" t="s">
        <v>173</v>
      </c>
      <c r="Q8" s="34" t="s">
        <v>173</v>
      </c>
      <c r="R8" s="34"/>
      <c r="S8" s="34"/>
      <c r="T8" s="34"/>
      <c r="U8" s="34"/>
      <c r="V8" s="34"/>
      <c r="W8" s="34"/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4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12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1</v>
      </c>
      <c r="I22" s="31" t="n">
        <f aca="false">COUNTIF(I4,$A$22)</f>
        <v>1</v>
      </c>
      <c r="J22" s="31" t="n">
        <f aca="false">COUNTIF(J4,$A$22)</f>
        <v>1</v>
      </c>
      <c r="K22" s="31" t="n">
        <f aca="false">COUNTIF(K4,$A$22)</f>
        <v>1</v>
      </c>
      <c r="L22" s="31" t="n">
        <f aca="false">COUNTIF(L4,$A$22)</f>
        <v>1</v>
      </c>
      <c r="M22" s="31" t="n">
        <f aca="false">COUNTIF(M4,$A$22)</f>
        <v>1</v>
      </c>
      <c r="N22" s="31" t="n">
        <f aca="false">COUNTIF(N4,$A$22)</f>
        <v>1</v>
      </c>
      <c r="O22" s="31" t="n">
        <f aca="false">COUNTIF(O4,$A$22)</f>
        <v>1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1</v>
      </c>
      <c r="I24" s="31" t="n">
        <f aca="false">COUNTIF(I6,$A$22)</f>
        <v>1</v>
      </c>
      <c r="J24" s="31" t="n">
        <f aca="false">COUNTIF(J6,$A$22)</f>
        <v>1</v>
      </c>
      <c r="K24" s="31" t="n">
        <f aca="false">COUNTIF(K6,$A$22)</f>
        <v>1</v>
      </c>
      <c r="L24" s="31" t="n">
        <f aca="false">COUNTIF(L6,$A$22)</f>
        <v>1</v>
      </c>
      <c r="M24" s="31" t="n">
        <f aca="false">COUNTIF(M6,$A$22)</f>
        <v>1</v>
      </c>
      <c r="N24" s="31" t="n">
        <f aca="false">COUNTIF(N6,$A$22)</f>
        <v>1</v>
      </c>
      <c r="O24" s="31" t="n">
        <f aca="false">COUNTIF(O6,$A$22)</f>
        <v>1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1</v>
      </c>
      <c r="I30" s="31" t="n">
        <f aca="false">COUNTIF(I5,$A$29)</f>
        <v>1</v>
      </c>
      <c r="J30" s="31" t="n">
        <f aca="false">COUNTIF(J5,$A$29)</f>
        <v>1</v>
      </c>
      <c r="K30" s="31" t="n">
        <f aca="false">COUNTIF(K5,$A$29)</f>
        <v>1</v>
      </c>
      <c r="L30" s="31" t="n">
        <f aca="false">COUNTIF(L5,$A$29)</f>
        <v>1</v>
      </c>
      <c r="M30" s="31" t="n">
        <f aca="false">COUNTIF(M5,$A$29)</f>
        <v>1</v>
      </c>
      <c r="N30" s="31" t="n">
        <f aca="false">COUNTIF(N5,$A$29)</f>
        <v>1</v>
      </c>
      <c r="O30" s="31" t="n">
        <f aca="false">COUNTIF(O5,$A$29)</f>
        <v>1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1</v>
      </c>
      <c r="Q35" s="31" t="n">
        <f aca="false">COUNTIF(Q4,$A$35)</f>
        <v>1</v>
      </c>
      <c r="R35" s="31" t="n">
        <f aca="false">COUNTIF(R4,$A$35)</f>
        <v>1</v>
      </c>
      <c r="S35" s="31" t="n">
        <f aca="false">COUNTIF(S4,$A$35)</f>
        <v>1</v>
      </c>
      <c r="T35" s="31" t="n">
        <f aca="false">COUNTIF(T4,$A$35)</f>
        <v>1</v>
      </c>
      <c r="U35" s="31" t="n">
        <f aca="false">COUNTIF(U4,$A$35)</f>
        <v>1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1</v>
      </c>
      <c r="Q36" s="31" t="n">
        <f aca="false">COUNTIF(Q5,$A$35)</f>
        <v>1</v>
      </c>
      <c r="R36" s="31" t="n">
        <f aca="false">COUNTIF(R5,$A$35)</f>
        <v>1</v>
      </c>
      <c r="S36" s="31" t="n">
        <f aca="false">COUNTIF(S5,$A$35)</f>
        <v>1</v>
      </c>
      <c r="T36" s="31" t="n">
        <f aca="false">COUNTIF(T5,$A$35)</f>
        <v>1</v>
      </c>
      <c r="U36" s="31" t="n">
        <f aca="false">COUNTIF(U5,$A$35)</f>
        <v>1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1</v>
      </c>
      <c r="Q37" s="31" t="n">
        <f aca="false">COUNTIF(Q6,$A$35)</f>
        <v>1</v>
      </c>
      <c r="R37" s="31" t="n">
        <f aca="false">COUNTIF(R6,$A$35)</f>
        <v>1</v>
      </c>
      <c r="S37" s="31" t="n">
        <f aca="false">COUNTIF(S6,$A$35)</f>
        <v>1</v>
      </c>
      <c r="T37" s="31" t="n">
        <f aca="false">COUNTIF(T6,$A$35)</f>
        <v>1</v>
      </c>
      <c r="U37" s="31" t="n">
        <f aca="false">COUNTIF(U6,$A$35)</f>
        <v>1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1</v>
      </c>
      <c r="G38" s="31" t="n">
        <f aca="false">COUNTIF(G7,$A$35)</f>
        <v>1</v>
      </c>
      <c r="H38" s="31" t="n">
        <f aca="false">COUNTIF(H7,$A$35)</f>
        <v>1</v>
      </c>
      <c r="I38" s="31" t="n">
        <f aca="false">COUNTIF(I7,$A$35)</f>
        <v>1</v>
      </c>
      <c r="J38" s="31" t="n">
        <f aca="false">COUNTIF(J7,$A$35)</f>
        <v>1</v>
      </c>
      <c r="K38" s="31" t="n">
        <f aca="false">COUNTIF(K7,$A$35)</f>
        <v>1</v>
      </c>
      <c r="L38" s="31" t="n">
        <f aca="false">COUNTIF(L7,$A$35)</f>
        <v>1</v>
      </c>
      <c r="M38" s="31" t="n">
        <f aca="false">COUNTIF(M7,$A$35)</f>
        <v>1</v>
      </c>
      <c r="N38" s="31" t="n">
        <f aca="false">COUNTIF(N7,$A$35)</f>
        <v>1</v>
      </c>
      <c r="O38" s="31" t="n">
        <f aca="false">COUNTIF(O7,$A$35)</f>
        <v>1</v>
      </c>
      <c r="P38" s="31" t="n">
        <f aca="false">COUNTIF(P7,$A$35)</f>
        <v>1</v>
      </c>
      <c r="Q38" s="31" t="n">
        <f aca="false">COUNTIF(Q7,$A$35)</f>
        <v>1</v>
      </c>
      <c r="R38" s="31" t="n">
        <f aca="false">COUNTIF(R7,$A$35)</f>
        <v>1</v>
      </c>
      <c r="S38" s="31" t="n">
        <f aca="false">COUNTIF(S7,$A$35)</f>
        <v>1</v>
      </c>
      <c r="T38" s="31" t="n">
        <f aca="false">COUNTIF(T7,$A$35)</f>
        <v>1</v>
      </c>
      <c r="U38" s="31" t="n">
        <f aca="false">COUNTIF(U7,$A$35)</f>
        <v>1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1</v>
      </c>
      <c r="O39" s="31" t="n">
        <f aca="false">COUNTIF(O8,$A$35)</f>
        <v>1</v>
      </c>
      <c r="P39" s="31" t="n">
        <f aca="false">COUNTIF(P8,$A$35)</f>
        <v>1</v>
      </c>
      <c r="Q39" s="31" t="n">
        <f aca="false">COUNTIF(Q8,$A$35)</f>
        <v>1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193</v>
      </c>
      <c r="N3" s="32" t="s">
        <v>194</v>
      </c>
      <c r="O3" s="32" t="s">
        <v>195</v>
      </c>
      <c r="P3" s="32" t="s">
        <v>196</v>
      </c>
      <c r="Q3" s="32" t="s">
        <v>197</v>
      </c>
      <c r="R3" s="32" t="s">
        <v>198</v>
      </c>
      <c r="S3" s="32" t="s">
        <v>199</v>
      </c>
      <c r="T3" s="32" t="s">
        <v>200</v>
      </c>
      <c r="U3" s="32" t="s">
        <v>201</v>
      </c>
      <c r="V3" s="32" t="s">
        <v>202</v>
      </c>
      <c r="W3" s="32" t="s">
        <v>203</v>
      </c>
      <c r="X3" s="32" t="s">
        <v>204</v>
      </c>
      <c r="Y3" s="32" t="s">
        <v>205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/>
      <c r="E4" s="34"/>
      <c r="F4" s="34"/>
      <c r="G4" s="34"/>
      <c r="H4" s="34"/>
      <c r="I4" s="34" t="s">
        <v>167</v>
      </c>
      <c r="J4" s="34" t="s">
        <v>167</v>
      </c>
      <c r="K4" s="34" t="s">
        <v>167</v>
      </c>
      <c r="L4" s="34" t="s">
        <v>167</v>
      </c>
      <c r="M4" s="34" t="s">
        <v>167</v>
      </c>
      <c r="N4" s="34" t="s">
        <v>167</v>
      </c>
      <c r="O4" s="34" t="s">
        <v>167</v>
      </c>
      <c r="P4" s="34" t="s">
        <v>167</v>
      </c>
      <c r="Q4" s="34"/>
      <c r="R4" s="34"/>
      <c r="S4" s="34"/>
      <c r="T4" s="34"/>
      <c r="U4" s="34"/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4"/>
      <c r="E5" s="34"/>
      <c r="F5" s="34"/>
      <c r="G5" s="34"/>
      <c r="H5" s="34"/>
      <c r="I5" s="34" t="s">
        <v>167</v>
      </c>
      <c r="J5" s="34" t="s">
        <v>167</v>
      </c>
      <c r="K5" s="34" t="s">
        <v>167</v>
      </c>
      <c r="L5" s="34" t="s">
        <v>167</v>
      </c>
      <c r="M5" s="34" t="s">
        <v>167</v>
      </c>
      <c r="N5" s="34" t="s">
        <v>167</v>
      </c>
      <c r="O5" s="34" t="s">
        <v>167</v>
      </c>
      <c r="P5" s="34" t="s">
        <v>167</v>
      </c>
      <c r="Q5" s="34"/>
      <c r="R5" s="34"/>
      <c r="S5" s="34"/>
      <c r="T5" s="34"/>
      <c r="U5" s="34"/>
      <c r="V5" s="34"/>
      <c r="W5" s="34"/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/>
      <c r="E6" s="34"/>
      <c r="F6" s="34"/>
      <c r="G6" s="34"/>
      <c r="H6" s="34"/>
      <c r="I6" s="34" t="s">
        <v>167</v>
      </c>
      <c r="J6" s="34" t="s">
        <v>167</v>
      </c>
      <c r="K6" s="34" t="s">
        <v>167</v>
      </c>
      <c r="L6" s="34" t="s">
        <v>167</v>
      </c>
      <c r="M6" s="34" t="s">
        <v>167</v>
      </c>
      <c r="N6" s="34" t="s">
        <v>167</v>
      </c>
      <c r="O6" s="34" t="s">
        <v>167</v>
      </c>
      <c r="P6" s="34" t="s">
        <v>167</v>
      </c>
      <c r="Q6" s="34"/>
      <c r="R6" s="34"/>
      <c r="S6" s="34"/>
      <c r="T6" s="34"/>
      <c r="U6" s="34"/>
      <c r="V6" s="34"/>
      <c r="W6" s="34"/>
      <c r="X6" s="34"/>
      <c r="Y6" s="34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1"/>
    </row>
    <row r="9" customFormat="false" ht="21" hidden="false" customHeight="true" outlineLevel="0" collapsed="false">
      <c r="A9" s="33" t="s">
        <v>206</v>
      </c>
      <c r="B9" s="67"/>
      <c r="C9" s="67"/>
      <c r="D9" s="67"/>
      <c r="E9" s="67"/>
      <c r="F9" s="67"/>
      <c r="G9" s="67"/>
      <c r="H9" s="67"/>
      <c r="I9" s="67"/>
      <c r="J9" s="34"/>
      <c r="K9" s="34"/>
      <c r="L9" s="34"/>
      <c r="M9" s="38" t="s">
        <v>207</v>
      </c>
      <c r="N9" s="38" t="s">
        <v>207</v>
      </c>
      <c r="O9" s="38" t="s">
        <v>207</v>
      </c>
      <c r="P9" s="38" t="s">
        <v>207</v>
      </c>
      <c r="Q9" s="38" t="s">
        <v>207</v>
      </c>
      <c r="R9" s="38" t="s">
        <v>207</v>
      </c>
      <c r="S9" s="38" t="s">
        <v>207</v>
      </c>
      <c r="T9" s="38" t="s">
        <v>207</v>
      </c>
      <c r="U9" s="38" t="s">
        <v>207</v>
      </c>
      <c r="V9" s="38" t="s">
        <v>207</v>
      </c>
      <c r="W9" s="38" t="s">
        <v>207</v>
      </c>
      <c r="X9" s="38" t="s">
        <v>207</v>
      </c>
      <c r="Y9" s="38" t="s">
        <v>207</v>
      </c>
      <c r="Z9" s="31"/>
    </row>
    <row r="10" customFormat="false" ht="21" hidden="false" customHeight="true" outlineLevel="0" collapsed="false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A11" s="31"/>
      <c r="B11" s="59" t="s">
        <v>176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177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0" t="s">
        <v>178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1"/>
      <c r="C14" s="62" t="s">
        <v>208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T14" s="31"/>
      <c r="U14" s="31"/>
      <c r="V14" s="31"/>
      <c r="W14" s="31"/>
      <c r="X14" s="31"/>
      <c r="Y14" s="31"/>
      <c r="Z14" s="31"/>
    </row>
    <row r="15" customFormat="false" ht="21" hidden="false" customHeight="true" outlineLevel="0" collapsed="false">
      <c r="B15" s="63"/>
      <c r="C15" s="64" t="s">
        <v>180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V15" s="31"/>
      <c r="W15" s="31"/>
      <c r="X15" s="31"/>
      <c r="Y15" s="31"/>
      <c r="Z15" s="31"/>
    </row>
    <row r="16" customFormat="false" ht="21" hidden="false" customHeight="true" outlineLevel="0" collapsed="false">
      <c r="C16" s="31"/>
      <c r="D16" s="31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59" t="s">
        <v>181</v>
      </c>
      <c r="C17" s="59"/>
      <c r="D17" s="59"/>
      <c r="E17" s="59"/>
      <c r="F17" s="59"/>
      <c r="G17" s="59"/>
      <c r="H17" s="59"/>
      <c r="I17" s="59"/>
      <c r="K17" s="59" t="s">
        <v>182</v>
      </c>
      <c r="L17" s="59"/>
      <c r="M17" s="59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5" t="s">
        <v>183</v>
      </c>
      <c r="C18" s="66" t="s">
        <v>184</v>
      </c>
      <c r="D18" s="66"/>
      <c r="E18" s="66"/>
      <c r="F18" s="66"/>
      <c r="G18" s="66"/>
      <c r="H18" s="66"/>
      <c r="I18" s="66"/>
      <c r="J18" s="31"/>
      <c r="K18" s="61" t="s">
        <v>183</v>
      </c>
      <c r="L18" s="61"/>
      <c r="M18" s="62" t="s">
        <v>185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147</v>
      </c>
      <c r="C19" s="62" t="s">
        <v>186</v>
      </c>
      <c r="D19" s="62"/>
      <c r="E19" s="62"/>
      <c r="F19" s="62"/>
      <c r="G19" s="62"/>
      <c r="H19" s="62"/>
      <c r="I19" s="62"/>
      <c r="J19" s="31"/>
      <c r="K19" s="61" t="s">
        <v>170</v>
      </c>
      <c r="L19" s="61"/>
      <c r="M19" s="62" t="n">
        <f aca="false">COUNTIF(B4:Y9,"Pref")</f>
        <v>0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1" t="s">
        <v>167</v>
      </c>
      <c r="C20" s="62" t="s">
        <v>187</v>
      </c>
      <c r="D20" s="62"/>
      <c r="E20" s="62"/>
      <c r="F20" s="62"/>
      <c r="G20" s="62"/>
      <c r="H20" s="62"/>
      <c r="I20" s="62"/>
      <c r="J20" s="31"/>
      <c r="K20" s="61" t="s">
        <v>188</v>
      </c>
      <c r="L20" s="61"/>
      <c r="M20" s="62" t="n">
        <f aca="false">COUNTIF(B4:Y9,"Yes")</f>
        <v>24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63" t="s">
        <v>173</v>
      </c>
      <c r="C21" s="64" t="s">
        <v>189</v>
      </c>
      <c r="D21" s="64"/>
      <c r="E21" s="64"/>
      <c r="F21" s="64"/>
      <c r="G21" s="64"/>
      <c r="H21" s="64"/>
      <c r="I21" s="64"/>
      <c r="J21" s="31"/>
      <c r="K21" s="63" t="s">
        <v>190</v>
      </c>
      <c r="L21" s="63"/>
      <c r="M21" s="64" t="n">
        <f aca="false">SUM(M19:M20)</f>
        <v>24</v>
      </c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1</v>
      </c>
      <c r="J29" s="31" t="n">
        <f aca="false">COUNTIF(J4,$A$29)</f>
        <v>1</v>
      </c>
      <c r="K29" s="31" t="n">
        <f aca="false">COUNTIF(K4,$A$29)</f>
        <v>1</v>
      </c>
      <c r="L29" s="31" t="n">
        <f aca="false">COUNTIF(L4,$A$29)</f>
        <v>1</v>
      </c>
      <c r="M29" s="31" t="n">
        <f aca="false">COUNTIF(M4,$A$29)</f>
        <v>1</v>
      </c>
      <c r="N29" s="31" t="n">
        <f aca="false">COUNTIF(N4,$A$29)</f>
        <v>1</v>
      </c>
      <c r="O29" s="31" t="n">
        <f aca="false">COUNTIF(O4,$A$29)</f>
        <v>1</v>
      </c>
      <c r="P29" s="31" t="n">
        <f aca="false">COUNTIF(P4,$A$29)</f>
        <v>1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1</v>
      </c>
      <c r="J30" s="31" t="n">
        <f aca="false">COUNTIF(J5,$A$29)</f>
        <v>1</v>
      </c>
      <c r="K30" s="31" t="n">
        <f aca="false">COUNTIF(K5,$A$29)</f>
        <v>1</v>
      </c>
      <c r="L30" s="31" t="n">
        <f aca="false">COUNTIF(L5,$A$29)</f>
        <v>1</v>
      </c>
      <c r="M30" s="31" t="n">
        <f aca="false">COUNTIF(M5,$A$29)</f>
        <v>1</v>
      </c>
      <c r="N30" s="31" t="n">
        <f aca="false">COUNTIF(N5,$A$29)</f>
        <v>1</v>
      </c>
      <c r="O30" s="31" t="n">
        <f aca="false">COUNTIF(O5,$A$29)</f>
        <v>1</v>
      </c>
      <c r="P30" s="31" t="n">
        <f aca="false">COUNTIF(P5,$A$29)</f>
        <v>1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1</v>
      </c>
      <c r="J31" s="31" t="n">
        <f aca="false">COUNTIF(J6,$A$29)</f>
        <v>1</v>
      </c>
      <c r="K31" s="31" t="n">
        <f aca="false">COUNTIF(K6,$A$29)</f>
        <v>1</v>
      </c>
      <c r="L31" s="31" t="n">
        <f aca="false">COUNTIF(L6,$A$29)</f>
        <v>1</v>
      </c>
      <c r="M31" s="31" t="n">
        <f aca="false">COUNTIF(M6,$A$29)</f>
        <v>1</v>
      </c>
      <c r="N31" s="31" t="n">
        <f aca="false">COUNTIF(N6,$A$29)</f>
        <v>1</v>
      </c>
      <c r="O31" s="31" t="n">
        <f aca="false">COUNTIF(O6,$A$29)</f>
        <v>1</v>
      </c>
      <c r="P31" s="31" t="n">
        <f aca="false">COUNTIF(P6,$A$29)</f>
        <v>1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1:P11"/>
    <mergeCell ref="B12:P12"/>
    <mergeCell ref="B13:P13"/>
    <mergeCell ref="C14:P14"/>
    <mergeCell ref="C15:P15"/>
    <mergeCell ref="B17:I17"/>
    <mergeCell ref="K17:M17"/>
    <mergeCell ref="C18:I18"/>
    <mergeCell ref="K18:L18"/>
    <mergeCell ref="C19:I19"/>
    <mergeCell ref="K19:L19"/>
    <mergeCell ref="C20:I20"/>
    <mergeCell ref="K20:L20"/>
    <mergeCell ref="C21:I21"/>
    <mergeCell ref="K21:L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209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68" t="s">
        <v>173</v>
      </c>
      <c r="C4" s="68" t="s">
        <v>173</v>
      </c>
      <c r="D4" s="68" t="s">
        <v>173</v>
      </c>
      <c r="E4" s="68" t="s">
        <v>173</v>
      </c>
      <c r="F4" s="68" t="s">
        <v>173</v>
      </c>
      <c r="G4" s="68" t="s">
        <v>173</v>
      </c>
      <c r="H4" s="69" t="s">
        <v>147</v>
      </c>
      <c r="I4" s="69" t="s">
        <v>147</v>
      </c>
      <c r="J4" s="69" t="s">
        <v>147</v>
      </c>
      <c r="K4" s="69" t="s">
        <v>147</v>
      </c>
      <c r="L4" s="68" t="s">
        <v>173</v>
      </c>
      <c r="M4" s="68" t="s">
        <v>173</v>
      </c>
      <c r="N4" s="68" t="s">
        <v>173</v>
      </c>
      <c r="O4" s="68" t="s">
        <v>173</v>
      </c>
      <c r="P4" s="68" t="s">
        <v>173</v>
      </c>
      <c r="Q4" s="68" t="s">
        <v>173</v>
      </c>
      <c r="R4" s="68" t="s">
        <v>173</v>
      </c>
      <c r="S4" s="68" t="s">
        <v>173</v>
      </c>
      <c r="T4" s="68" t="s">
        <v>173</v>
      </c>
      <c r="U4" s="68" t="s">
        <v>173</v>
      </c>
      <c r="V4" s="68" t="s">
        <v>173</v>
      </c>
      <c r="W4" s="68" t="s">
        <v>173</v>
      </c>
      <c r="X4" s="68" t="s">
        <v>173</v>
      </c>
      <c r="Y4" s="68" t="s">
        <v>173</v>
      </c>
      <c r="Z4" s="31"/>
    </row>
    <row r="5" customFormat="false" ht="21" hidden="false" customHeight="true" outlineLevel="0" collapsed="false">
      <c r="A5" s="33" t="s">
        <v>66</v>
      </c>
      <c r="B5" s="68" t="s">
        <v>173</v>
      </c>
      <c r="C5" s="68" t="s">
        <v>173</v>
      </c>
      <c r="D5" s="68" t="s">
        <v>173</v>
      </c>
      <c r="E5" s="68" t="s">
        <v>173</v>
      </c>
      <c r="F5" s="68" t="s">
        <v>173</v>
      </c>
      <c r="G5" s="68" t="s">
        <v>173</v>
      </c>
      <c r="H5" s="70" t="s">
        <v>167</v>
      </c>
      <c r="I5" s="70" t="s">
        <v>167</v>
      </c>
      <c r="J5" s="70" t="s">
        <v>167</v>
      </c>
      <c r="K5" s="70" t="s">
        <v>167</v>
      </c>
      <c r="L5" s="69" t="s">
        <v>147</v>
      </c>
      <c r="M5" s="69" t="s">
        <v>147</v>
      </c>
      <c r="N5" s="69" t="s">
        <v>147</v>
      </c>
      <c r="O5" s="69" t="s">
        <v>147</v>
      </c>
      <c r="P5" s="68" t="s">
        <v>173</v>
      </c>
      <c r="Q5" s="68" t="s">
        <v>173</v>
      </c>
      <c r="R5" s="68" t="s">
        <v>173</v>
      </c>
      <c r="S5" s="68" t="s">
        <v>173</v>
      </c>
      <c r="T5" s="68" t="s">
        <v>173</v>
      </c>
      <c r="U5" s="68" t="s">
        <v>173</v>
      </c>
      <c r="V5" s="68" t="s">
        <v>173</v>
      </c>
      <c r="W5" s="68" t="s">
        <v>173</v>
      </c>
      <c r="X5" s="68" t="s">
        <v>173</v>
      </c>
      <c r="Y5" s="68" t="s">
        <v>173</v>
      </c>
      <c r="Z5" s="31"/>
    </row>
    <row r="6" customFormat="false" ht="21" hidden="false" customHeight="true" outlineLevel="0" collapsed="false">
      <c r="A6" s="33" t="s">
        <v>73</v>
      </c>
      <c r="B6" s="68" t="s">
        <v>173</v>
      </c>
      <c r="C6" s="68" t="s">
        <v>173</v>
      </c>
      <c r="D6" s="68" t="s">
        <v>173</v>
      </c>
      <c r="E6" s="68" t="s">
        <v>173</v>
      </c>
      <c r="F6" s="68" t="s">
        <v>173</v>
      </c>
      <c r="G6" s="68" t="s">
        <v>173</v>
      </c>
      <c r="H6" s="69" t="s">
        <v>147</v>
      </c>
      <c r="I6" s="69" t="s">
        <v>147</v>
      </c>
      <c r="J6" s="69" t="s">
        <v>147</v>
      </c>
      <c r="K6" s="69" t="s">
        <v>147</v>
      </c>
      <c r="L6" s="68" t="s">
        <v>173</v>
      </c>
      <c r="M6" s="68" t="s">
        <v>173</v>
      </c>
      <c r="N6" s="68" t="s">
        <v>173</v>
      </c>
      <c r="O6" s="68" t="s">
        <v>173</v>
      </c>
      <c r="P6" s="68" t="s">
        <v>173</v>
      </c>
      <c r="Q6" s="68" t="s">
        <v>173</v>
      </c>
      <c r="R6" s="68" t="s">
        <v>173</v>
      </c>
      <c r="S6" s="68" t="s">
        <v>173</v>
      </c>
      <c r="T6" s="68" t="s">
        <v>173</v>
      </c>
      <c r="U6" s="68" t="s">
        <v>173</v>
      </c>
      <c r="V6" s="71"/>
      <c r="W6" s="71"/>
      <c r="X6" s="71"/>
      <c r="Y6" s="71"/>
      <c r="Z6" s="31"/>
    </row>
    <row r="7" customFormat="false" ht="21" hidden="false" customHeight="true" outlineLevel="0" collapsed="false">
      <c r="A7" s="33" t="s">
        <v>75</v>
      </c>
      <c r="B7" s="68" t="s">
        <v>173</v>
      </c>
      <c r="C7" s="68" t="s">
        <v>173</v>
      </c>
      <c r="D7" s="68" t="s">
        <v>173</v>
      </c>
      <c r="E7" s="68" t="s">
        <v>173</v>
      </c>
      <c r="F7" s="68" t="s">
        <v>173</v>
      </c>
      <c r="G7" s="68" t="s">
        <v>173</v>
      </c>
      <c r="H7" s="70" t="s">
        <v>167</v>
      </c>
      <c r="I7" s="70" t="s">
        <v>167</v>
      </c>
      <c r="J7" s="70" t="s">
        <v>167</v>
      </c>
      <c r="K7" s="70" t="s">
        <v>167</v>
      </c>
      <c r="L7" s="69" t="s">
        <v>147</v>
      </c>
      <c r="M7" s="69" t="s">
        <v>147</v>
      </c>
      <c r="N7" s="69" t="s">
        <v>147</v>
      </c>
      <c r="O7" s="69" t="s">
        <v>147</v>
      </c>
      <c r="P7" s="68" t="s">
        <v>173</v>
      </c>
      <c r="Q7" s="68" t="s">
        <v>173</v>
      </c>
      <c r="R7" s="68" t="s">
        <v>173</v>
      </c>
      <c r="S7" s="68" t="s">
        <v>173</v>
      </c>
      <c r="T7" s="68" t="s">
        <v>173</v>
      </c>
      <c r="U7" s="68" t="s">
        <v>173</v>
      </c>
      <c r="V7" s="68" t="s">
        <v>173</v>
      </c>
      <c r="W7" s="68" t="s">
        <v>173</v>
      </c>
      <c r="X7" s="68" t="s">
        <v>173</v>
      </c>
      <c r="Y7" s="68" t="s">
        <v>173</v>
      </c>
      <c r="Z7" s="31"/>
    </row>
    <row r="8" customFormat="false" ht="21" hidden="false" customHeight="true" outlineLevel="0" collapsed="false">
      <c r="A8" s="33" t="s">
        <v>76</v>
      </c>
      <c r="B8" s="68" t="s">
        <v>173</v>
      </c>
      <c r="C8" s="68" t="s">
        <v>173</v>
      </c>
      <c r="D8" s="68" t="s">
        <v>173</v>
      </c>
      <c r="E8" s="68" t="s">
        <v>173</v>
      </c>
      <c r="F8" s="68" t="s">
        <v>173</v>
      </c>
      <c r="G8" s="68" t="s">
        <v>173</v>
      </c>
      <c r="H8" s="71"/>
      <c r="I8" s="71"/>
      <c r="J8" s="71"/>
      <c r="K8" s="71"/>
      <c r="L8" s="68" t="s">
        <v>173</v>
      </c>
      <c r="M8" s="68" t="s">
        <v>173</v>
      </c>
      <c r="N8" s="68" t="s">
        <v>173</v>
      </c>
      <c r="O8" s="68" t="s">
        <v>173</v>
      </c>
      <c r="P8" s="68" t="s">
        <v>173</v>
      </c>
      <c r="Q8" s="68" t="s">
        <v>173</v>
      </c>
      <c r="R8" s="68" t="s">
        <v>173</v>
      </c>
      <c r="S8" s="68" t="s">
        <v>173</v>
      </c>
      <c r="T8" s="68" t="s">
        <v>173</v>
      </c>
      <c r="U8" s="68" t="s">
        <v>173</v>
      </c>
      <c r="V8" s="68" t="s">
        <v>173</v>
      </c>
      <c r="W8" s="68" t="s">
        <v>173</v>
      </c>
      <c r="X8" s="68" t="s">
        <v>173</v>
      </c>
      <c r="Y8" s="68" t="s">
        <v>173</v>
      </c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4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12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1</v>
      </c>
      <c r="I22" s="31" t="n">
        <f aca="false">COUNTIF(I4,$A$22)</f>
        <v>1</v>
      </c>
      <c r="J22" s="31" t="n">
        <f aca="false">COUNTIF(J4,$A$22)</f>
        <v>1</v>
      </c>
      <c r="K22" s="31" t="n">
        <f aca="false">COUNTIF(K4,$A$22)</f>
        <v>1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1</v>
      </c>
      <c r="M23" s="31" t="n">
        <f aca="false">COUNTIF(M5,$A$22)</f>
        <v>1</v>
      </c>
      <c r="N23" s="31" t="n">
        <f aca="false">COUNTIF(N5,$A$22)</f>
        <v>1</v>
      </c>
      <c r="O23" s="31" t="n">
        <f aca="false">COUNTIF(O5,$A$22)</f>
        <v>1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1</v>
      </c>
      <c r="I24" s="31" t="n">
        <f aca="false">COUNTIF(I6,$A$22)</f>
        <v>1</v>
      </c>
      <c r="J24" s="31" t="n">
        <f aca="false">COUNTIF(J6,$A$22)</f>
        <v>1</v>
      </c>
      <c r="K24" s="31" t="n">
        <f aca="false">COUNTIF(K6,$A$22)</f>
        <v>1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1</v>
      </c>
      <c r="M25" s="31" t="n">
        <f aca="false">COUNTIF(M7,$A$22)</f>
        <v>1</v>
      </c>
      <c r="N25" s="31" t="n">
        <f aca="false">COUNTIF(N7,$A$22)</f>
        <v>1</v>
      </c>
      <c r="O25" s="31" t="n">
        <f aca="false">COUNTIF(O7,$A$22)</f>
        <v>1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1</v>
      </c>
      <c r="I30" s="31" t="n">
        <f aca="false">COUNTIF(I5,$A$29)</f>
        <v>1</v>
      </c>
      <c r="J30" s="31" t="n">
        <f aca="false">COUNTIF(J5,$A$29)</f>
        <v>1</v>
      </c>
      <c r="K30" s="31" t="n">
        <f aca="false">COUNTIF(K5,$A$29)</f>
        <v>1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0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1</v>
      </c>
      <c r="I32" s="31" t="n">
        <f aca="false">COUNTIF(I7,$A$29)</f>
        <v>1</v>
      </c>
      <c r="J32" s="31" t="n">
        <f aca="false">COUNTIF(J7,$A$29)</f>
        <v>1</v>
      </c>
      <c r="K32" s="31" t="n">
        <f aca="false">COUNTIF(K7,$A$29)</f>
        <v>1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1</v>
      </c>
      <c r="C35" s="31" t="n">
        <f aca="false">COUNTIF(C4,$A$35)</f>
        <v>1</v>
      </c>
      <c r="D35" s="31" t="n">
        <f aca="false">COUNTIF(D4,$A$35)</f>
        <v>1</v>
      </c>
      <c r="E35" s="31" t="n">
        <f aca="false">COUNTIF(E4,$A$35)</f>
        <v>1</v>
      </c>
      <c r="F35" s="31" t="n">
        <f aca="false">COUNTIF(F4,$A$35)</f>
        <v>1</v>
      </c>
      <c r="G35" s="31" t="n">
        <f aca="false">COUNTIF(G4,$A$35)</f>
        <v>1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1</v>
      </c>
      <c r="M35" s="31" t="n">
        <f aca="false">COUNTIF(M4,$A$35)</f>
        <v>1</v>
      </c>
      <c r="N35" s="31" t="n">
        <f aca="false">COUNTIF(N4,$A$35)</f>
        <v>1</v>
      </c>
      <c r="O35" s="31" t="n">
        <f aca="false">COUNTIF(O4,$A$35)</f>
        <v>1</v>
      </c>
      <c r="P35" s="31" t="n">
        <f aca="false">COUNTIF(P4,$A$35)</f>
        <v>1</v>
      </c>
      <c r="Q35" s="31" t="n">
        <f aca="false">COUNTIF(Q4,$A$35)</f>
        <v>1</v>
      </c>
      <c r="R35" s="31" t="n">
        <f aca="false">COUNTIF(R4,$A$35)</f>
        <v>1</v>
      </c>
      <c r="S35" s="31" t="n">
        <f aca="false">COUNTIF(S4,$A$35)</f>
        <v>1</v>
      </c>
      <c r="T35" s="31" t="n">
        <f aca="false">COUNTIF(T4,$A$35)</f>
        <v>1</v>
      </c>
      <c r="U35" s="31" t="n">
        <f aca="false">COUNTIF(U4,$A$35)</f>
        <v>1</v>
      </c>
      <c r="V35" s="31" t="n">
        <f aca="false">COUNTIF(V4,$A$35)</f>
        <v>1</v>
      </c>
      <c r="W35" s="31" t="n">
        <f aca="false">COUNTIF(W4,$A$35)</f>
        <v>1</v>
      </c>
      <c r="X35" s="31" t="n">
        <f aca="false">COUNTIF(X4,$A$35)</f>
        <v>1</v>
      </c>
      <c r="Y35" s="31" t="n">
        <f aca="false">COUNTIF(Y4,$A$35)</f>
        <v>1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1</v>
      </c>
      <c r="C36" s="31" t="n">
        <f aca="false">COUNTIF(C5,$A$35)</f>
        <v>1</v>
      </c>
      <c r="D36" s="31" t="n">
        <f aca="false">COUNTIF(D5,$A$35)</f>
        <v>1</v>
      </c>
      <c r="E36" s="31" t="n">
        <f aca="false">COUNTIF(E5,$A$35)</f>
        <v>1</v>
      </c>
      <c r="F36" s="31" t="n">
        <f aca="false">COUNTIF(F5,$A$35)</f>
        <v>1</v>
      </c>
      <c r="G36" s="31" t="n">
        <f aca="false">COUNTIF(G5,$A$35)</f>
        <v>1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1</v>
      </c>
      <c r="Q36" s="31" t="n">
        <f aca="false">COUNTIF(Q5,$A$35)</f>
        <v>1</v>
      </c>
      <c r="R36" s="31" t="n">
        <f aca="false">COUNTIF(R5,$A$35)</f>
        <v>1</v>
      </c>
      <c r="S36" s="31" t="n">
        <f aca="false">COUNTIF(S5,$A$35)</f>
        <v>1</v>
      </c>
      <c r="T36" s="31" t="n">
        <f aca="false">COUNTIF(T5,$A$35)</f>
        <v>1</v>
      </c>
      <c r="U36" s="31" t="n">
        <f aca="false">COUNTIF(U5,$A$35)</f>
        <v>1</v>
      </c>
      <c r="V36" s="31" t="n">
        <f aca="false">COUNTIF(V5,$A$35)</f>
        <v>1</v>
      </c>
      <c r="W36" s="31" t="n">
        <f aca="false">COUNTIF(W5,$A$35)</f>
        <v>1</v>
      </c>
      <c r="X36" s="31" t="n">
        <f aca="false">COUNTIF(X5,$A$35)</f>
        <v>1</v>
      </c>
      <c r="Y36" s="31" t="n">
        <f aca="false">COUNTIF(Y5,$A$35)</f>
        <v>1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1</v>
      </c>
      <c r="C37" s="31" t="n">
        <f aca="false">COUNTIF(C6,$A$35)</f>
        <v>1</v>
      </c>
      <c r="D37" s="31" t="n">
        <f aca="false">COUNTIF(D6,$A$35)</f>
        <v>1</v>
      </c>
      <c r="E37" s="31" t="n">
        <f aca="false">COUNTIF(E6,$A$35)</f>
        <v>1</v>
      </c>
      <c r="F37" s="31" t="n">
        <f aca="false">COUNTIF(F6,$A$35)</f>
        <v>1</v>
      </c>
      <c r="G37" s="31" t="n">
        <f aca="false">COUNTIF(G6,$A$35)</f>
        <v>1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1</v>
      </c>
      <c r="M37" s="31" t="n">
        <f aca="false">COUNTIF(M6,$A$35)</f>
        <v>1</v>
      </c>
      <c r="N37" s="31" t="n">
        <f aca="false">COUNTIF(N6,$A$35)</f>
        <v>1</v>
      </c>
      <c r="O37" s="31" t="n">
        <f aca="false">COUNTIF(O6,$A$35)</f>
        <v>1</v>
      </c>
      <c r="P37" s="31" t="n">
        <f aca="false">COUNTIF(P6,$A$35)</f>
        <v>1</v>
      </c>
      <c r="Q37" s="31" t="n">
        <f aca="false">COUNTIF(Q6,$A$35)</f>
        <v>1</v>
      </c>
      <c r="R37" s="31" t="n">
        <f aca="false">COUNTIF(R6,$A$35)</f>
        <v>1</v>
      </c>
      <c r="S37" s="31" t="n">
        <f aca="false">COUNTIF(S6,$A$35)</f>
        <v>1</v>
      </c>
      <c r="T37" s="31" t="n">
        <f aca="false">COUNTIF(T6,$A$35)</f>
        <v>1</v>
      </c>
      <c r="U37" s="31" t="n">
        <f aca="false">COUNTIF(U6,$A$35)</f>
        <v>1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1</v>
      </c>
      <c r="C38" s="31" t="n">
        <f aca="false">COUNTIF(C7,$A$35)</f>
        <v>1</v>
      </c>
      <c r="D38" s="31" t="n">
        <f aca="false">COUNTIF(D7,$A$35)</f>
        <v>1</v>
      </c>
      <c r="E38" s="31" t="n">
        <f aca="false">COUNTIF(E7,$A$35)</f>
        <v>1</v>
      </c>
      <c r="F38" s="31" t="n">
        <f aca="false">COUNTIF(F7,$A$35)</f>
        <v>1</v>
      </c>
      <c r="G38" s="31" t="n">
        <f aca="false">COUNTIF(G7,$A$35)</f>
        <v>1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1</v>
      </c>
      <c r="Q38" s="31" t="n">
        <f aca="false">COUNTIF(Q7,$A$35)</f>
        <v>1</v>
      </c>
      <c r="R38" s="31" t="n">
        <f aca="false">COUNTIF(R7,$A$35)</f>
        <v>1</v>
      </c>
      <c r="S38" s="31" t="n">
        <f aca="false">COUNTIF(S7,$A$35)</f>
        <v>1</v>
      </c>
      <c r="T38" s="31" t="n">
        <f aca="false">COUNTIF(T7,$A$35)</f>
        <v>1</v>
      </c>
      <c r="U38" s="31" t="n">
        <f aca="false">COUNTIF(U7,$A$35)</f>
        <v>1</v>
      </c>
      <c r="V38" s="31" t="n">
        <f aca="false">COUNTIF(V7,$A$35)</f>
        <v>1</v>
      </c>
      <c r="W38" s="31" t="n">
        <f aca="false">COUNTIF(W7,$A$35)</f>
        <v>1</v>
      </c>
      <c r="X38" s="31" t="n">
        <f aca="false">COUNTIF(X7,$A$35)</f>
        <v>1</v>
      </c>
      <c r="Y38" s="31" t="n">
        <f aca="false">COUNTIF(Y7,$A$35)</f>
        <v>1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1</v>
      </c>
      <c r="C39" s="31" t="n">
        <f aca="false">COUNTIF(C8,$A$35)</f>
        <v>1</v>
      </c>
      <c r="D39" s="31" t="n">
        <f aca="false">COUNTIF(D8,$A$35)</f>
        <v>1</v>
      </c>
      <c r="E39" s="31" t="n">
        <f aca="false">COUNTIF(E8,$A$35)</f>
        <v>1</v>
      </c>
      <c r="F39" s="31" t="n">
        <f aca="false">COUNTIF(F8,$A$35)</f>
        <v>1</v>
      </c>
      <c r="G39" s="31" t="n">
        <f aca="false">COUNTIF(G8,$A$35)</f>
        <v>1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1</v>
      </c>
      <c r="M39" s="31" t="n">
        <f aca="false">COUNTIF(M8,$A$35)</f>
        <v>1</v>
      </c>
      <c r="N39" s="31" t="n">
        <f aca="false">COUNTIF(N8,$A$35)</f>
        <v>1</v>
      </c>
      <c r="O39" s="31" t="n">
        <f aca="false">COUNTIF(O8,$A$35)</f>
        <v>1</v>
      </c>
      <c r="P39" s="31" t="n">
        <f aca="false">COUNTIF(P8,$A$35)</f>
        <v>1</v>
      </c>
      <c r="Q39" s="31" t="n">
        <f aca="false">COUNTIF(Q8,$A$35)</f>
        <v>1</v>
      </c>
      <c r="R39" s="31" t="n">
        <f aca="false">COUNTIF(R8,$A$35)</f>
        <v>1</v>
      </c>
      <c r="S39" s="31" t="n">
        <f aca="false">COUNTIF(S8,$A$35)</f>
        <v>1</v>
      </c>
      <c r="T39" s="31" t="n">
        <f aca="false">COUNTIF(T8,$A$35)</f>
        <v>1</v>
      </c>
      <c r="U39" s="31" t="n">
        <f aca="false">COUNTIF(U8,$A$35)</f>
        <v>1</v>
      </c>
      <c r="V39" s="31" t="n">
        <f aca="false">COUNTIF(V8,$A$35)</f>
        <v>1</v>
      </c>
      <c r="W39" s="31" t="n">
        <f aca="false">COUNTIF(W8,$A$35)</f>
        <v>1</v>
      </c>
      <c r="X39" s="31" t="n">
        <f aca="false">COUNTIF(X8,$A$35)</f>
        <v>1</v>
      </c>
      <c r="Y39" s="31" t="n">
        <f aca="false">COUNTIF(Y8,$A$35)</f>
        <v>1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210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/>
      <c r="E4" s="34"/>
      <c r="F4" s="34"/>
      <c r="G4" s="34"/>
      <c r="H4" s="34"/>
      <c r="I4" s="34"/>
      <c r="J4" s="34"/>
      <c r="K4" s="34" t="s">
        <v>173</v>
      </c>
      <c r="L4" s="34" t="s">
        <v>173</v>
      </c>
      <c r="M4" s="34" t="s">
        <v>173</v>
      </c>
      <c r="N4" s="34" t="s">
        <v>173</v>
      </c>
      <c r="O4" s="34" t="s">
        <v>173</v>
      </c>
      <c r="P4" s="34" t="s">
        <v>173</v>
      </c>
      <c r="Q4" s="34" t="s">
        <v>167</v>
      </c>
      <c r="R4" s="34" t="s">
        <v>147</v>
      </c>
      <c r="S4" s="34" t="s">
        <v>147</v>
      </c>
      <c r="T4" s="34" t="s">
        <v>147</v>
      </c>
      <c r="U4" s="34" t="s">
        <v>147</v>
      </c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4"/>
      <c r="E5" s="34"/>
      <c r="F5" s="34"/>
      <c r="G5" s="34"/>
      <c r="H5" s="34"/>
      <c r="I5" s="34"/>
      <c r="J5" s="34" t="s">
        <v>147</v>
      </c>
      <c r="K5" s="34" t="s">
        <v>147</v>
      </c>
      <c r="L5" s="34" t="s">
        <v>147</v>
      </c>
      <c r="M5" s="34" t="s">
        <v>147</v>
      </c>
      <c r="N5" s="34" t="s">
        <v>167</v>
      </c>
      <c r="O5" s="34" t="s">
        <v>173</v>
      </c>
      <c r="P5" s="34" t="s">
        <v>173</v>
      </c>
      <c r="Q5" s="34" t="s">
        <v>173</v>
      </c>
      <c r="R5" s="34" t="s">
        <v>173</v>
      </c>
      <c r="S5" s="34" t="s">
        <v>173</v>
      </c>
      <c r="T5" s="34" t="s">
        <v>167</v>
      </c>
      <c r="U5" s="34" t="s">
        <v>167</v>
      </c>
      <c r="V5" s="34"/>
      <c r="W5" s="34"/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/>
      <c r="E6" s="34"/>
      <c r="F6" s="34"/>
      <c r="G6" s="34"/>
      <c r="H6" s="34"/>
      <c r="I6" s="34"/>
      <c r="J6" s="34"/>
      <c r="K6" s="34" t="s">
        <v>173</v>
      </c>
      <c r="L6" s="34" t="s">
        <v>173</v>
      </c>
      <c r="M6" s="34" t="s">
        <v>173</v>
      </c>
      <c r="N6" s="34" t="s">
        <v>173</v>
      </c>
      <c r="O6" s="34" t="s">
        <v>173</v>
      </c>
      <c r="P6" s="34" t="s">
        <v>173</v>
      </c>
      <c r="Q6" s="34" t="s">
        <v>167</v>
      </c>
      <c r="R6" s="34" t="s">
        <v>147</v>
      </c>
      <c r="S6" s="34" t="s">
        <v>147</v>
      </c>
      <c r="T6" s="34" t="s">
        <v>147</v>
      </c>
      <c r="U6" s="34" t="s">
        <v>147</v>
      </c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4"/>
      <c r="E7" s="34"/>
      <c r="F7" s="34"/>
      <c r="G7" s="34"/>
      <c r="H7" s="34"/>
      <c r="I7" s="34"/>
      <c r="J7" s="34" t="s">
        <v>147</v>
      </c>
      <c r="K7" s="34" t="s">
        <v>147</v>
      </c>
      <c r="L7" s="34" t="s">
        <v>147</v>
      </c>
      <c r="M7" s="34" t="s">
        <v>147</v>
      </c>
      <c r="N7" s="34" t="s">
        <v>167</v>
      </c>
      <c r="O7" s="34" t="s">
        <v>173</v>
      </c>
      <c r="P7" s="34" t="s">
        <v>173</v>
      </c>
      <c r="Q7" s="34" t="s">
        <v>173</v>
      </c>
      <c r="R7" s="34" t="s">
        <v>173</v>
      </c>
      <c r="S7" s="34" t="s">
        <v>173</v>
      </c>
      <c r="T7" s="34" t="s">
        <v>167</v>
      </c>
      <c r="U7" s="34" t="s">
        <v>167</v>
      </c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/>
      <c r="E8" s="34"/>
      <c r="F8" s="34"/>
      <c r="G8" s="34"/>
      <c r="H8" s="38"/>
      <c r="I8" s="38"/>
      <c r="J8" s="38"/>
      <c r="K8" s="38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4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12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1</v>
      </c>
      <c r="S22" s="31" t="n">
        <f aca="false">COUNTIF(S4,$A$22)</f>
        <v>1</v>
      </c>
      <c r="T22" s="31" t="n">
        <f aca="false">COUNTIF(T4,$A$22)</f>
        <v>1</v>
      </c>
      <c r="U22" s="31" t="n">
        <f aca="false">COUNTIF(U4,$A$22)</f>
        <v>1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1</v>
      </c>
      <c r="K23" s="31" t="n">
        <f aca="false">COUNTIF(K5,$A$22)</f>
        <v>1</v>
      </c>
      <c r="L23" s="31" t="n">
        <f aca="false">COUNTIF(L5,$A$22)</f>
        <v>1</v>
      </c>
      <c r="M23" s="31" t="n">
        <f aca="false">COUNTIF(M5,$A$22)</f>
        <v>1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1</v>
      </c>
      <c r="S24" s="31" t="n">
        <f aca="false">COUNTIF(S6,$A$22)</f>
        <v>1</v>
      </c>
      <c r="T24" s="31" t="n">
        <f aca="false">COUNTIF(T6,$A$22)</f>
        <v>1</v>
      </c>
      <c r="U24" s="31" t="n">
        <f aca="false">COUNTIF(U6,$A$22)</f>
        <v>1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1</v>
      </c>
      <c r="K25" s="31" t="n">
        <f aca="false">COUNTIF(K7,$A$22)</f>
        <v>1</v>
      </c>
      <c r="L25" s="31" t="n">
        <f aca="false">COUNTIF(L7,$A$22)</f>
        <v>1</v>
      </c>
      <c r="M25" s="31" t="n">
        <f aca="false">COUNTIF(M7,$A$22)</f>
        <v>1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1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1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1</v>
      </c>
      <c r="U30" s="31" t="n">
        <f aca="false">COUNTIF(U5,$A$29)</f>
        <v>1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1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1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1</v>
      </c>
      <c r="U32" s="31" t="n">
        <f aca="false">COUNTIF(U7,$A$29)</f>
        <v>1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1</v>
      </c>
      <c r="L35" s="31" t="n">
        <f aca="false">COUNTIF(L4,$A$35)</f>
        <v>1</v>
      </c>
      <c r="M35" s="31" t="n">
        <f aca="false">COUNTIF(M4,$A$35)</f>
        <v>1</v>
      </c>
      <c r="N35" s="31" t="n">
        <f aca="false">COUNTIF(N4,$A$35)</f>
        <v>1</v>
      </c>
      <c r="O35" s="31" t="n">
        <f aca="false">COUNTIF(O4,$A$35)</f>
        <v>1</v>
      </c>
      <c r="P35" s="31" t="n">
        <f aca="false">COUNTIF(P4,$A$35)</f>
        <v>1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1</v>
      </c>
      <c r="P36" s="31" t="n">
        <f aca="false">COUNTIF(P5,$A$35)</f>
        <v>1</v>
      </c>
      <c r="Q36" s="31" t="n">
        <f aca="false">COUNTIF(Q5,$A$35)</f>
        <v>1</v>
      </c>
      <c r="R36" s="31" t="n">
        <f aca="false">COUNTIF(R5,$A$35)</f>
        <v>1</v>
      </c>
      <c r="S36" s="31" t="n">
        <f aca="false">COUNTIF(S5,$A$35)</f>
        <v>1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1</v>
      </c>
      <c r="L37" s="31" t="n">
        <f aca="false">COUNTIF(L6,$A$35)</f>
        <v>1</v>
      </c>
      <c r="M37" s="31" t="n">
        <f aca="false">COUNTIF(M6,$A$35)</f>
        <v>1</v>
      </c>
      <c r="N37" s="31" t="n">
        <f aca="false">COUNTIF(N6,$A$35)</f>
        <v>1</v>
      </c>
      <c r="O37" s="31" t="n">
        <f aca="false">COUNTIF(O6,$A$35)</f>
        <v>1</v>
      </c>
      <c r="P37" s="31" t="n">
        <f aca="false">COUNTIF(P6,$A$35)</f>
        <v>1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1</v>
      </c>
      <c r="P38" s="31" t="n">
        <f aca="false">COUNTIF(P7,$A$35)</f>
        <v>1</v>
      </c>
      <c r="Q38" s="31" t="n">
        <f aca="false">COUNTIF(Q7,$A$35)</f>
        <v>1</v>
      </c>
      <c r="R38" s="31" t="n">
        <f aca="false">COUNTIF(R7,$A$35)</f>
        <v>1</v>
      </c>
      <c r="S38" s="31" t="n">
        <f aca="false">COUNTIF(S7,$A$35)</f>
        <v>1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160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 t="s">
        <v>167</v>
      </c>
      <c r="M5" s="34" t="s">
        <v>167</v>
      </c>
      <c r="N5" s="34" t="s">
        <v>147</v>
      </c>
      <c r="O5" s="34" t="s">
        <v>147</v>
      </c>
      <c r="P5" s="34" t="s">
        <v>147</v>
      </c>
      <c r="Q5" s="34" t="s">
        <v>147</v>
      </c>
      <c r="R5" s="34" t="s">
        <v>147</v>
      </c>
      <c r="S5" s="34" t="s">
        <v>147</v>
      </c>
      <c r="T5" s="34" t="s">
        <v>147</v>
      </c>
      <c r="U5" s="34" t="s">
        <v>147</v>
      </c>
      <c r="V5" s="34" t="s">
        <v>147</v>
      </c>
      <c r="W5" s="34" t="s">
        <v>147</v>
      </c>
      <c r="X5" s="34" t="s">
        <v>167</v>
      </c>
      <c r="Y5" s="34" t="s">
        <v>167</v>
      </c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/>
      <c r="E6" s="34"/>
      <c r="F6" s="34"/>
      <c r="G6" s="34"/>
      <c r="H6" s="34" t="s">
        <v>147</v>
      </c>
      <c r="I6" s="34" t="s">
        <v>147</v>
      </c>
      <c r="J6" s="34" t="s">
        <v>147</v>
      </c>
      <c r="K6" s="34" t="s">
        <v>147</v>
      </c>
      <c r="L6" s="34"/>
      <c r="M6" s="34"/>
      <c r="N6" s="34"/>
      <c r="O6" s="34"/>
      <c r="P6" s="34"/>
      <c r="Q6" s="34"/>
      <c r="R6" s="34"/>
      <c r="S6" s="34"/>
      <c r="T6" s="34" t="s">
        <v>147</v>
      </c>
      <c r="U6" s="34" t="s">
        <v>147</v>
      </c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/>
      <c r="E8" s="34"/>
      <c r="F8" s="34"/>
      <c r="G8" s="34"/>
      <c r="H8" s="38"/>
      <c r="I8" s="38"/>
      <c r="J8" s="38"/>
      <c r="K8" s="38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2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10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1</v>
      </c>
      <c r="O23" s="31" t="n">
        <f aca="false">COUNTIF(O5,$A$22)</f>
        <v>1</v>
      </c>
      <c r="P23" s="31" t="n">
        <f aca="false">COUNTIF(P5,$A$22)</f>
        <v>1</v>
      </c>
      <c r="Q23" s="31" t="n">
        <f aca="false">COUNTIF(Q5,$A$22)</f>
        <v>1</v>
      </c>
      <c r="R23" s="31" t="n">
        <f aca="false">COUNTIF(R5,$A$22)</f>
        <v>1</v>
      </c>
      <c r="S23" s="31" t="n">
        <f aca="false">COUNTIF(S5,$A$22)</f>
        <v>1</v>
      </c>
      <c r="T23" s="31" t="n">
        <f aca="false">COUNTIF(T5,$A$22)</f>
        <v>1</v>
      </c>
      <c r="U23" s="31" t="n">
        <f aca="false">COUNTIF(U5,$A$22)</f>
        <v>1</v>
      </c>
      <c r="V23" s="31" t="n">
        <f aca="false">COUNTIF(V5,$A$22)</f>
        <v>1</v>
      </c>
      <c r="W23" s="31" t="n">
        <f aca="false">COUNTIF(W5,$A$22)</f>
        <v>1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1</v>
      </c>
      <c r="I24" s="31" t="n">
        <f aca="false">COUNTIF(I6,$A$22)</f>
        <v>1</v>
      </c>
      <c r="J24" s="31" t="n">
        <f aca="false">COUNTIF(J6,$A$22)</f>
        <v>1</v>
      </c>
      <c r="K24" s="31" t="n">
        <f aca="false">COUNTIF(K6,$A$22)</f>
        <v>1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1</v>
      </c>
      <c r="U24" s="31" t="n">
        <f aca="false">COUNTIF(U6,$A$22)</f>
        <v>1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1</v>
      </c>
      <c r="M30" s="31" t="n">
        <f aca="false">COUNTIF(M5,$A$29)</f>
        <v>1</v>
      </c>
      <c r="N30" s="31" t="n">
        <f aca="false">COUNTIF(N5,$A$29)</f>
        <v>0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1</v>
      </c>
      <c r="Y30" s="31" t="n">
        <f aca="false">COUNTIF(Y5,$A$29)</f>
        <v>1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46" t="s">
        <v>211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21" hidden="false" customHeight="tru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customFormat="false" ht="21" hidden="false" customHeight="true" outlineLevel="0" collapsed="false">
      <c r="A3" s="46"/>
      <c r="B3" s="72" t="s">
        <v>0</v>
      </c>
      <c r="C3" s="72" t="s">
        <v>1</v>
      </c>
      <c r="D3" s="72" t="s">
        <v>2</v>
      </c>
      <c r="E3" s="72" t="s">
        <v>3</v>
      </c>
      <c r="F3" s="72" t="s">
        <v>4</v>
      </c>
      <c r="G3" s="72" t="s">
        <v>5</v>
      </c>
      <c r="H3" s="72" t="s">
        <v>6</v>
      </c>
      <c r="I3" s="72" t="s">
        <v>7</v>
      </c>
      <c r="J3" s="72" t="s">
        <v>8</v>
      </c>
      <c r="K3" s="72" t="s">
        <v>9</v>
      </c>
      <c r="L3" s="72" t="s">
        <v>10</v>
      </c>
      <c r="M3" s="72" t="s">
        <v>11</v>
      </c>
      <c r="N3" s="72" t="s">
        <v>12</v>
      </c>
      <c r="O3" s="72" t="s">
        <v>13</v>
      </c>
      <c r="P3" s="72" t="s">
        <v>14</v>
      </c>
      <c r="Q3" s="72" t="s">
        <v>15</v>
      </c>
      <c r="R3" s="72" t="s">
        <v>16</v>
      </c>
      <c r="S3" s="72" t="s">
        <v>17</v>
      </c>
      <c r="T3" s="72" t="s">
        <v>18</v>
      </c>
      <c r="U3" s="72" t="s">
        <v>19</v>
      </c>
      <c r="V3" s="72" t="s">
        <v>20</v>
      </c>
      <c r="W3" s="72" t="s">
        <v>21</v>
      </c>
      <c r="X3" s="72" t="s">
        <v>22</v>
      </c>
      <c r="Y3" s="72" t="s">
        <v>23</v>
      </c>
      <c r="Z3" s="46"/>
    </row>
    <row r="4" customFormat="false" ht="21" hidden="false" customHeight="true" outlineLevel="0" collapsed="false">
      <c r="A4" s="73" t="s">
        <v>24</v>
      </c>
      <c r="B4" s="74" t="s">
        <v>167</v>
      </c>
      <c r="C4" s="74" t="s">
        <v>167</v>
      </c>
      <c r="D4" s="74" t="s">
        <v>167</v>
      </c>
      <c r="E4" s="74" t="s">
        <v>167</v>
      </c>
      <c r="F4" s="74"/>
      <c r="G4" s="74"/>
      <c r="H4" s="74" t="s">
        <v>147</v>
      </c>
      <c r="I4" s="74" t="s">
        <v>147</v>
      </c>
      <c r="J4" s="74" t="s">
        <v>147</v>
      </c>
      <c r="K4" s="74" t="s">
        <v>147</v>
      </c>
      <c r="L4" s="74"/>
      <c r="M4" s="74"/>
      <c r="N4" s="74"/>
      <c r="O4" s="74"/>
      <c r="P4" s="74" t="s">
        <v>147</v>
      </c>
      <c r="Q4" s="74" t="s">
        <v>147</v>
      </c>
      <c r="R4" s="74" t="s">
        <v>147</v>
      </c>
      <c r="S4" s="74" t="s">
        <v>147</v>
      </c>
      <c r="T4" s="74"/>
      <c r="U4" s="74"/>
      <c r="V4" s="74"/>
      <c r="W4" s="74"/>
      <c r="X4" s="74" t="s">
        <v>167</v>
      </c>
      <c r="Y4" s="74" t="s">
        <v>167</v>
      </c>
      <c r="Z4" s="46"/>
    </row>
    <row r="5" customFormat="false" ht="21" hidden="false" customHeight="true" outlineLevel="0" collapsed="false">
      <c r="A5" s="73" t="s">
        <v>66</v>
      </c>
      <c r="B5" s="74" t="s">
        <v>167</v>
      </c>
      <c r="C5" s="74" t="s">
        <v>167</v>
      </c>
      <c r="D5" s="74" t="s">
        <v>167</v>
      </c>
      <c r="E5" s="74" t="s">
        <v>167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 t="s">
        <v>167</v>
      </c>
      <c r="Y5" s="74" t="s">
        <v>167</v>
      </c>
      <c r="Z5" s="46"/>
    </row>
    <row r="6" customFormat="false" ht="21" hidden="false" customHeight="true" outlineLevel="0" collapsed="false">
      <c r="A6" s="73" t="s">
        <v>73</v>
      </c>
      <c r="B6" s="74" t="s">
        <v>167</v>
      </c>
      <c r="C6" s="74" t="s">
        <v>167</v>
      </c>
      <c r="D6" s="74" t="s">
        <v>167</v>
      </c>
      <c r="E6" s="74" t="s">
        <v>167</v>
      </c>
      <c r="F6" s="74"/>
      <c r="G6" s="74"/>
      <c r="H6" s="74" t="s">
        <v>147</v>
      </c>
      <c r="I6" s="74" t="s">
        <v>147</v>
      </c>
      <c r="J6" s="74" t="s">
        <v>147</v>
      </c>
      <c r="K6" s="74" t="s">
        <v>147</v>
      </c>
      <c r="L6" s="74"/>
      <c r="M6" s="74"/>
      <c r="N6" s="74"/>
      <c r="O6" s="74"/>
      <c r="P6" s="74" t="s">
        <v>147</v>
      </c>
      <c r="Q6" s="74" t="s">
        <v>147</v>
      </c>
      <c r="R6" s="74" t="s">
        <v>147</v>
      </c>
      <c r="S6" s="74" t="s">
        <v>147</v>
      </c>
      <c r="T6" s="74"/>
      <c r="U6" s="74"/>
      <c r="V6" s="75"/>
      <c r="W6" s="75"/>
      <c r="X6" s="75"/>
      <c r="Y6" s="75"/>
      <c r="Z6" s="46"/>
    </row>
    <row r="7" customFormat="false" ht="21" hidden="false" customHeight="true" outlineLevel="0" collapsed="false">
      <c r="A7" s="73" t="s">
        <v>75</v>
      </c>
      <c r="B7" s="74" t="s">
        <v>167</v>
      </c>
      <c r="C7" s="74" t="s">
        <v>167</v>
      </c>
      <c r="D7" s="74" t="s">
        <v>167</v>
      </c>
      <c r="E7" s="74" t="s">
        <v>167</v>
      </c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 t="s">
        <v>167</v>
      </c>
      <c r="Y7" s="74" t="s">
        <v>167</v>
      </c>
      <c r="Z7" s="46"/>
    </row>
    <row r="8" customFormat="false" ht="21" hidden="false" customHeight="true" outlineLevel="0" collapsed="false">
      <c r="A8" s="73" t="s">
        <v>76</v>
      </c>
      <c r="B8" s="74" t="s">
        <v>167</v>
      </c>
      <c r="C8" s="74" t="s">
        <v>167</v>
      </c>
      <c r="D8" s="74" t="s">
        <v>167</v>
      </c>
      <c r="E8" s="74" t="s">
        <v>167</v>
      </c>
      <c r="F8" s="74" t="s">
        <v>167</v>
      </c>
      <c r="G8" s="74" t="s">
        <v>167</v>
      </c>
      <c r="H8" s="75"/>
      <c r="I8" s="75"/>
      <c r="J8" s="75"/>
      <c r="K8" s="75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 t="s">
        <v>167</v>
      </c>
      <c r="Y8" s="74" t="s">
        <v>167</v>
      </c>
      <c r="Z8" s="46"/>
    </row>
    <row r="9" customFormat="false" ht="21" hidden="false" customHeight="true" outlineLevel="0" collapsed="false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customFormat="false" ht="21" hidden="false" customHeight="true" outlineLevel="0" collapsed="false">
      <c r="A10" s="46"/>
      <c r="B10" s="76" t="s">
        <v>176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customFormat="false" ht="21" hidden="false" customHeight="true" outlineLevel="0" collapsed="false">
      <c r="A11" s="46"/>
      <c r="B11" s="77" t="s">
        <v>177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21" hidden="false" customHeight="true" outlineLevel="0" collapsed="false">
      <c r="A12" s="46"/>
      <c r="B12" s="77" t="s">
        <v>178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21" hidden="false" customHeight="true" outlineLevel="0" collapsed="false">
      <c r="A13" s="46"/>
      <c r="B13" s="78"/>
      <c r="C13" s="79" t="s">
        <v>179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customFormat="false" ht="21" hidden="false" customHeight="true" outlineLevel="0" collapsed="false">
      <c r="A14" s="46"/>
      <c r="B14" s="80"/>
      <c r="C14" s="81" t="s">
        <v>180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customFormat="false" ht="21" hidden="false" customHeight="tru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21" hidden="false" customHeight="true" outlineLevel="0" collapsed="false">
      <c r="A16" s="46"/>
      <c r="B16" s="76" t="s">
        <v>181</v>
      </c>
      <c r="C16" s="76"/>
      <c r="D16" s="76"/>
      <c r="E16" s="76"/>
      <c r="F16" s="76"/>
      <c r="G16" s="76"/>
      <c r="H16" s="76"/>
      <c r="I16" s="76"/>
      <c r="J16" s="46"/>
      <c r="K16" s="76" t="s">
        <v>182</v>
      </c>
      <c r="L16" s="76"/>
      <c r="M16" s="7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21" hidden="false" customHeight="true" outlineLevel="0" collapsed="false">
      <c r="A17" s="46"/>
      <c r="B17" s="82" t="s">
        <v>183</v>
      </c>
      <c r="C17" s="83" t="s">
        <v>184</v>
      </c>
      <c r="D17" s="83"/>
      <c r="E17" s="83"/>
      <c r="F17" s="83"/>
      <c r="G17" s="83"/>
      <c r="H17" s="83"/>
      <c r="I17" s="83"/>
      <c r="J17" s="46"/>
      <c r="K17" s="78" t="s">
        <v>183</v>
      </c>
      <c r="L17" s="78"/>
      <c r="M17" s="79" t="s">
        <v>185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21" hidden="false" customHeight="true" outlineLevel="0" collapsed="false">
      <c r="A18" s="46"/>
      <c r="B18" s="78" t="s">
        <v>147</v>
      </c>
      <c r="C18" s="79" t="s">
        <v>186</v>
      </c>
      <c r="D18" s="79"/>
      <c r="E18" s="79"/>
      <c r="F18" s="79"/>
      <c r="G18" s="79"/>
      <c r="H18" s="79"/>
      <c r="I18" s="79"/>
      <c r="J18" s="46"/>
      <c r="K18" s="78" t="s">
        <v>170</v>
      </c>
      <c r="L18" s="78"/>
      <c r="M18" s="79" t="n">
        <f aca="false">COUNTIF(B4:Y8,"Pref")/2</f>
        <v>8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21" hidden="false" customHeight="true" outlineLevel="0" collapsed="false">
      <c r="A19" s="46"/>
      <c r="B19" s="78" t="s">
        <v>167</v>
      </c>
      <c r="C19" s="79" t="s">
        <v>187</v>
      </c>
      <c r="D19" s="79"/>
      <c r="E19" s="79"/>
      <c r="F19" s="79"/>
      <c r="G19" s="79"/>
      <c r="H19" s="79"/>
      <c r="I19" s="79"/>
      <c r="J19" s="46"/>
      <c r="K19" s="78" t="s">
        <v>188</v>
      </c>
      <c r="L19" s="78"/>
      <c r="M19" s="79" t="n">
        <f aca="false">COUNTIF(B4:Y8,"Yes")/2</f>
        <v>15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21" hidden="false" customHeight="true" outlineLevel="0" collapsed="false">
      <c r="A20" s="46"/>
      <c r="B20" s="80" t="s">
        <v>173</v>
      </c>
      <c r="C20" s="81" t="s">
        <v>189</v>
      </c>
      <c r="D20" s="81"/>
      <c r="E20" s="81"/>
      <c r="F20" s="81"/>
      <c r="G20" s="81"/>
      <c r="H20" s="81"/>
      <c r="I20" s="81"/>
      <c r="J20" s="46"/>
      <c r="K20" s="80" t="s">
        <v>190</v>
      </c>
      <c r="L20" s="80"/>
      <c r="M20" s="81" t="n">
        <f aca="false">SUM(M7:M19)</f>
        <v>23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21" hidden="false" customHeight="tru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1</v>
      </c>
      <c r="I22" s="31" t="n">
        <f aca="false">COUNTIF(I4,$A$22)</f>
        <v>1</v>
      </c>
      <c r="J22" s="31" t="n">
        <f aca="false">COUNTIF(J4,$A$22)</f>
        <v>1</v>
      </c>
      <c r="K22" s="31" t="n">
        <f aca="false">COUNTIF(K4,$A$22)</f>
        <v>1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1</v>
      </c>
      <c r="Q22" s="31" t="n">
        <f aca="false">COUNTIF(Q4,$A$22)</f>
        <v>1</v>
      </c>
      <c r="R22" s="31" t="n">
        <f aca="false">COUNTIF(R4,$A$22)</f>
        <v>1</v>
      </c>
      <c r="S22" s="31" t="n">
        <f aca="false">COUNTIF(S4,$A$22)</f>
        <v>1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46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46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1</v>
      </c>
      <c r="I24" s="31" t="n">
        <f aca="false">COUNTIF(I6,$A$22)</f>
        <v>1</v>
      </c>
      <c r="J24" s="31" t="n">
        <f aca="false">COUNTIF(J6,$A$22)</f>
        <v>1</v>
      </c>
      <c r="K24" s="31" t="n">
        <f aca="false">COUNTIF(K6,$A$22)</f>
        <v>1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1</v>
      </c>
      <c r="Q24" s="31" t="n">
        <f aca="false">COUNTIF(Q6,$A$22)</f>
        <v>1</v>
      </c>
      <c r="R24" s="31" t="n">
        <f aca="false">COUNTIF(R6,$A$22)</f>
        <v>1</v>
      </c>
      <c r="S24" s="31" t="n">
        <f aca="false">COUNTIF(S6,$A$22)</f>
        <v>1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46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46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46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46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46"/>
    </row>
    <row r="29" customFormat="false" ht="21" hidden="false" customHeight="true" outlineLevel="0" collapsed="false">
      <c r="A29" s="31" t="s">
        <v>167</v>
      </c>
      <c r="B29" s="31" t="n">
        <f aca="false">COUNTIF(B4,$A$29)</f>
        <v>1</v>
      </c>
      <c r="C29" s="31" t="n">
        <f aca="false">COUNTIF(C4,$A$29)</f>
        <v>1</v>
      </c>
      <c r="D29" s="31" t="n">
        <f aca="false">COUNTIF(D4,$A$29)</f>
        <v>1</v>
      </c>
      <c r="E29" s="31" t="n">
        <f aca="false">COUNTIF(E4,$A$29)</f>
        <v>1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1</v>
      </c>
      <c r="Y29" s="31" t="n">
        <f aca="false">COUNTIF(Y4,$A$29)</f>
        <v>1</v>
      </c>
      <c r="Z29" s="46"/>
    </row>
    <row r="30" customFormat="false" ht="21" hidden="false" customHeight="true" outlineLevel="0" collapsed="false">
      <c r="A30" s="31"/>
      <c r="B30" s="31" t="n">
        <f aca="false">COUNTIF(B5,$A$29)</f>
        <v>1</v>
      </c>
      <c r="C30" s="31" t="n">
        <f aca="false">COUNTIF(C5,$A$29)</f>
        <v>1</v>
      </c>
      <c r="D30" s="31" t="n">
        <f aca="false">COUNTIF(D5,$A$29)</f>
        <v>1</v>
      </c>
      <c r="E30" s="31" t="n">
        <f aca="false">COUNTIF(E5,$A$29)</f>
        <v>1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0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1</v>
      </c>
      <c r="Y30" s="31" t="n">
        <f aca="false">COUNTIF(Y5,$A$29)</f>
        <v>1</v>
      </c>
      <c r="Z30" s="46"/>
    </row>
    <row r="31" customFormat="false" ht="21" hidden="false" customHeight="true" outlineLevel="0" collapsed="false">
      <c r="A31" s="31"/>
      <c r="B31" s="31" t="n">
        <f aca="false">COUNTIF(B6,$A$29)</f>
        <v>1</v>
      </c>
      <c r="C31" s="31" t="n">
        <f aca="false">COUNTIF(C6,$A$29)</f>
        <v>1</v>
      </c>
      <c r="D31" s="31" t="n">
        <f aca="false">COUNTIF(D6,$A$29)</f>
        <v>1</v>
      </c>
      <c r="E31" s="31" t="n">
        <f aca="false">COUNTIF(E6,$A$29)</f>
        <v>1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46"/>
    </row>
    <row r="32" customFormat="false" ht="21" hidden="false" customHeight="true" outlineLevel="0" collapsed="false">
      <c r="A32" s="31"/>
      <c r="B32" s="31" t="n">
        <f aca="false">COUNTIF(B7,$A$29)</f>
        <v>1</v>
      </c>
      <c r="C32" s="31" t="n">
        <f aca="false">COUNTIF(C7,$A$29)</f>
        <v>1</v>
      </c>
      <c r="D32" s="31" t="n">
        <f aca="false">COUNTIF(D7,$A$29)</f>
        <v>1</v>
      </c>
      <c r="E32" s="31" t="n">
        <f aca="false">COUNTIF(E7,$A$29)</f>
        <v>1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1</v>
      </c>
      <c r="Y32" s="31" t="n">
        <f aca="false">COUNTIF(Y7,$A$29)</f>
        <v>1</v>
      </c>
      <c r="Z32" s="46"/>
    </row>
    <row r="33" customFormat="false" ht="21" hidden="false" customHeight="true" outlineLevel="0" collapsed="false">
      <c r="A33" s="31"/>
      <c r="B33" s="31" t="n">
        <f aca="false">COUNTIF(B8,$A$29)</f>
        <v>1</v>
      </c>
      <c r="C33" s="31" t="n">
        <f aca="false">COUNTIF(C8,$A$29)</f>
        <v>1</v>
      </c>
      <c r="D33" s="31" t="n">
        <f aca="false">COUNTIF(D8,$A$29)</f>
        <v>1</v>
      </c>
      <c r="E33" s="31" t="n">
        <f aca="false">COUNTIF(E8,$A$29)</f>
        <v>1</v>
      </c>
      <c r="F33" s="31" t="n">
        <f aca="false">COUNTIF(F8,$A$29)</f>
        <v>1</v>
      </c>
      <c r="G33" s="31" t="n">
        <f aca="false">COUNTIF(G8,$A$29)</f>
        <v>1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1</v>
      </c>
      <c r="Y33" s="31" t="n">
        <f aca="false">COUNTIF(Y8,$A$29)</f>
        <v>1</v>
      </c>
      <c r="Z33" s="46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46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46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46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46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46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46"/>
    </row>
    <row r="40" customFormat="false" ht="21" hidden="false" customHeight="tru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customFormat="false" ht="21" hidden="false" customHeight="true" outlineLevel="0" collapsed="false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customFormat="false" ht="21" hidden="false" customHeight="tru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customFormat="false" ht="21" hidden="false" customHeight="true" outlineLevel="0" collapsed="false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customFormat="false" ht="21" hidden="false" customHeight="tru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customFormat="false" ht="21" hidden="false" customHeight="tru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customFormat="false" ht="21" hidden="false" customHeight="tru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customFormat="false" ht="21" hidden="false" customHeight="true" outlineLevel="0" collapsed="false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customFormat="false" ht="21" hidden="false" customHeight="tru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customFormat="false" ht="21" hidden="false" customHeight="tru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customFormat="false" ht="21" hidden="false" customHeight="tru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customFormat="false" ht="21" hidden="false" customHeight="tru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customFormat="false" ht="21" hidden="false" customHeight="tru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customFormat="false" ht="21" hidden="false" customHeight="tru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21" hidden="false" customHeight="tru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21" hidden="false" customHeight="tru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21" hidden="false" customHeight="tru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customFormat="false" ht="21" hidden="false" customHeight="tru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customFormat="false" ht="21" hidden="false" customHeight="tru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customFormat="false" ht="21" hidden="false" customHeight="tru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customFormat="false" ht="21" hidden="false" customHeight="tru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customFormat="false" ht="21" hidden="false" customHeight="tru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customFormat="false" ht="21" hidden="false" customHeight="tru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customFormat="false" ht="21" hidden="false" customHeight="tru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customFormat="false" ht="21" hidden="false" customHeight="tru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customFormat="false" ht="21" hidden="false" customHeight="tru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customFormat="false" ht="21" hidden="false" customHeight="tru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customFormat="false" ht="21" hidden="false" customHeight="tru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customFormat="false" ht="21" hidden="false" customHeight="tru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customFormat="false" ht="21" hidden="false" customHeight="tru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customFormat="false" ht="21" hidden="false" customHeight="tru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customFormat="false" ht="21" hidden="false" customHeight="tru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customFormat="false" ht="21" hidden="false" customHeight="tru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customFormat="false" ht="21" hidden="false" customHeight="tru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customFormat="false" ht="21" hidden="false" customHeight="tru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customFormat="false" ht="21" hidden="false" customHeight="tru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customFormat="false" ht="21" hidden="false" customHeight="tru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customFormat="false" ht="21" hidden="false" customHeight="tru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customFormat="false" ht="21" hidden="false" customHeight="tru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customFormat="false" ht="21" hidden="false" customHeight="tru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customFormat="false" ht="21" hidden="false" customHeight="tru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customFormat="false" ht="21" hidden="false" customHeight="tru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customFormat="false" ht="21" hidden="false" customHeight="tru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customFormat="false" ht="21" hidden="false" customHeight="tru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customFormat="false" ht="21" hidden="false" customHeight="tru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customFormat="false" ht="21" hidden="false" customHeight="tru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customFormat="false" ht="21" hidden="false" customHeight="tru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customFormat="false" ht="21" hidden="false" customHeight="tru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customFormat="false" ht="21" hidden="false" customHeight="tru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customFormat="false" ht="21" hidden="false" customHeight="tru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customFormat="false" ht="21" hidden="false" customHeight="tru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customFormat="false" ht="21" hidden="false" customHeight="tru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customFormat="false" ht="21" hidden="false" customHeight="tru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customFormat="false" ht="21" hidden="false" customHeight="tru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customFormat="false" ht="21" hidden="false" customHeight="tru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customFormat="false" ht="21" hidden="false" customHeight="tru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customFormat="false" ht="21" hidden="false" customHeight="tru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customFormat="false" ht="21" hidden="false" customHeight="tru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customFormat="false" ht="21" hidden="false" customHeight="tru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customFormat="false" ht="21" hidden="false" customHeight="tru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customFormat="false" ht="21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customFormat="false" ht="21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customFormat="false" ht="21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customFormat="false" ht="21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customFormat="false" ht="21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customFormat="false" ht="21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Format="false" ht="21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customFormat="false" ht="21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customFormat="false" ht="21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customFormat="false" ht="21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customFormat="false" ht="21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customFormat="false" ht="21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customFormat="false" ht="21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customFormat="false" ht="21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customFormat="false" ht="21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customFormat="false" ht="21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customFormat="false" ht="21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customFormat="false" ht="21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customFormat="false" ht="21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customFormat="false" ht="21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customFormat="false" ht="21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customFormat="false" ht="21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customFormat="false" ht="21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customFormat="false" ht="21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customFormat="false" ht="21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customFormat="false" ht="21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customFormat="false" ht="21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customFormat="false" ht="21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customFormat="false" ht="21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customFormat="false" ht="21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customFormat="false" ht="21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customFormat="false" ht="21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customFormat="false" ht="21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customFormat="false" ht="21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customFormat="false" ht="21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customFormat="false" ht="21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customFormat="false" ht="21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customFormat="false" ht="21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customFormat="false" ht="21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customFormat="false" ht="21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customFormat="false" ht="21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customFormat="false" ht="21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customFormat="false" ht="21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customFormat="false" ht="21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customFormat="false" ht="21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customFormat="false" ht="21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customFormat="false" ht="21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customFormat="false" ht="21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customFormat="false" ht="21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customFormat="false" ht="21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customFormat="false" ht="21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customFormat="false" ht="21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customFormat="false" ht="21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customFormat="false" ht="21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customFormat="false" ht="21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customFormat="false" ht="21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customFormat="false" ht="21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customFormat="false" ht="21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customFormat="false" ht="21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customFormat="false" ht="21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customFormat="false" ht="21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customFormat="false" ht="21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customFormat="false" ht="21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customFormat="false" ht="21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customFormat="false" ht="21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customFormat="false" ht="21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customFormat="false" ht="21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customFormat="false" ht="21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customFormat="false" ht="21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customFormat="false" ht="21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customFormat="false" ht="21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customFormat="false" ht="21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customFormat="false" ht="21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customFormat="false" ht="21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customFormat="false" ht="21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customFormat="false" ht="21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customFormat="false" ht="21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customFormat="false" ht="21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customFormat="false" ht="21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customFormat="false" ht="21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customFormat="false" ht="21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customFormat="false" ht="21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customFormat="false" ht="21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customFormat="false" ht="21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customFormat="false" ht="21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customFormat="false" ht="21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customFormat="false" ht="21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customFormat="false" ht="21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customFormat="false" ht="21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customFormat="false" ht="21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customFormat="false" ht="21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customFormat="false" ht="21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customFormat="false" ht="21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customFormat="false" ht="21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customFormat="false" ht="21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customFormat="false" ht="21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customFormat="false" ht="21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customFormat="false" ht="21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customFormat="false" ht="21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customFormat="false" ht="21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customFormat="false" ht="21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customFormat="false" ht="21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customFormat="false" ht="21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customFormat="false" ht="21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customFormat="false" ht="21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customFormat="false" ht="21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customFormat="false" ht="21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customFormat="false" ht="21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customFormat="false" ht="21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customFormat="false" ht="21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customFormat="false" ht="21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customFormat="false" ht="21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customFormat="false" ht="21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customFormat="false" ht="21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customFormat="false" ht="21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customFormat="false" ht="21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customFormat="false" ht="21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customFormat="false" ht="21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customFormat="false" ht="21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customFormat="false" ht="21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customFormat="false" ht="21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customFormat="false" ht="21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customFormat="false" ht="21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customFormat="false" ht="21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customFormat="false" ht="21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customFormat="false" ht="21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customFormat="false" ht="21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customFormat="false" ht="21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customFormat="false" ht="21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customFormat="false" ht="21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customFormat="false" ht="21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customFormat="false" ht="21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customFormat="false" ht="21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customFormat="false" ht="21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customFormat="false" ht="21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customFormat="false" ht="21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customFormat="false" ht="21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customFormat="false" ht="21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customFormat="false" ht="21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customFormat="false" ht="21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46" t="s">
        <v>212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21" hidden="false" customHeight="tru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customFormat="false" ht="21" hidden="false" customHeight="true" outlineLevel="0" collapsed="false">
      <c r="A3" s="46"/>
      <c r="B3" s="72" t="s">
        <v>0</v>
      </c>
      <c r="C3" s="72" t="s">
        <v>1</v>
      </c>
      <c r="D3" s="72" t="s">
        <v>2</v>
      </c>
      <c r="E3" s="72" t="s">
        <v>3</v>
      </c>
      <c r="F3" s="72" t="s">
        <v>4</v>
      </c>
      <c r="G3" s="72" t="s">
        <v>5</v>
      </c>
      <c r="H3" s="72" t="s">
        <v>6</v>
      </c>
      <c r="I3" s="72" t="s">
        <v>7</v>
      </c>
      <c r="J3" s="72" t="s">
        <v>8</v>
      </c>
      <c r="K3" s="72" t="s">
        <v>9</v>
      </c>
      <c r="L3" s="72" t="s">
        <v>10</v>
      </c>
      <c r="M3" s="72" t="s">
        <v>11</v>
      </c>
      <c r="N3" s="72" t="s">
        <v>12</v>
      </c>
      <c r="O3" s="72" t="s">
        <v>13</v>
      </c>
      <c r="P3" s="72" t="s">
        <v>14</v>
      </c>
      <c r="Q3" s="72" t="s">
        <v>15</v>
      </c>
      <c r="R3" s="72" t="s">
        <v>16</v>
      </c>
      <c r="S3" s="72" t="s">
        <v>17</v>
      </c>
      <c r="T3" s="72" t="s">
        <v>18</v>
      </c>
      <c r="U3" s="72" t="s">
        <v>19</v>
      </c>
      <c r="V3" s="72" t="s">
        <v>20</v>
      </c>
      <c r="W3" s="72" t="s">
        <v>21</v>
      </c>
      <c r="X3" s="72" t="s">
        <v>22</v>
      </c>
      <c r="Y3" s="72" t="s">
        <v>23</v>
      </c>
      <c r="Z3" s="46"/>
    </row>
    <row r="4" customFormat="false" ht="21" hidden="false" customHeight="true" outlineLevel="0" collapsed="false">
      <c r="A4" s="73" t="s">
        <v>24</v>
      </c>
      <c r="B4" s="74"/>
      <c r="C4" s="74"/>
      <c r="D4" s="74"/>
      <c r="E4" s="74" t="s">
        <v>147</v>
      </c>
      <c r="F4" s="74" t="s">
        <v>147</v>
      </c>
      <c r="G4" s="74" t="s">
        <v>173</v>
      </c>
      <c r="H4" s="74" t="s">
        <v>173</v>
      </c>
      <c r="I4" s="74" t="s">
        <v>173</v>
      </c>
      <c r="J4" s="74" t="s">
        <v>173</v>
      </c>
      <c r="K4" s="74" t="s">
        <v>173</v>
      </c>
      <c r="L4" s="74" t="s">
        <v>173</v>
      </c>
      <c r="M4" s="74" t="s">
        <v>173</v>
      </c>
      <c r="N4" s="74" t="s">
        <v>147</v>
      </c>
      <c r="O4" s="74" t="s">
        <v>147</v>
      </c>
      <c r="P4" s="74" t="s">
        <v>147</v>
      </c>
      <c r="Q4" s="74" t="s">
        <v>147</v>
      </c>
      <c r="R4" s="74" t="s">
        <v>167</v>
      </c>
      <c r="S4" s="74" t="s">
        <v>167</v>
      </c>
      <c r="T4" s="74" t="s">
        <v>167</v>
      </c>
      <c r="U4" s="74"/>
      <c r="V4" s="74"/>
      <c r="W4" s="74"/>
      <c r="X4" s="74"/>
      <c r="Y4" s="74"/>
      <c r="Z4" s="46"/>
    </row>
    <row r="5" customFormat="false" ht="21" hidden="false" customHeight="true" outlineLevel="0" collapsed="false">
      <c r="A5" s="73" t="s">
        <v>66</v>
      </c>
      <c r="B5" s="74"/>
      <c r="C5" s="74"/>
      <c r="D5" s="74" t="s">
        <v>173</v>
      </c>
      <c r="E5" s="74" t="s">
        <v>173</v>
      </c>
      <c r="F5" s="74" t="s">
        <v>173</v>
      </c>
      <c r="G5" s="74" t="s">
        <v>173</v>
      </c>
      <c r="H5" s="74" t="s">
        <v>173</v>
      </c>
      <c r="I5" s="74" t="s">
        <v>173</v>
      </c>
      <c r="J5" s="74" t="s">
        <v>173</v>
      </c>
      <c r="K5" s="74" t="s">
        <v>173</v>
      </c>
      <c r="L5" s="74" t="s">
        <v>173</v>
      </c>
      <c r="M5" s="74" t="s">
        <v>173</v>
      </c>
      <c r="N5" s="74" t="s">
        <v>173</v>
      </c>
      <c r="O5" s="74" t="s">
        <v>173</v>
      </c>
      <c r="P5" s="74" t="s">
        <v>147</v>
      </c>
      <c r="Q5" s="74" t="s">
        <v>147</v>
      </c>
      <c r="R5" s="74" t="s">
        <v>167</v>
      </c>
      <c r="S5" s="74" t="s">
        <v>167</v>
      </c>
      <c r="T5" s="74" t="s">
        <v>167</v>
      </c>
      <c r="U5" s="74"/>
      <c r="V5" s="74"/>
      <c r="W5" s="74"/>
      <c r="X5" s="74"/>
      <c r="Y5" s="74"/>
      <c r="Z5" s="46"/>
    </row>
    <row r="6" customFormat="false" ht="21" hidden="false" customHeight="true" outlineLevel="0" collapsed="false">
      <c r="A6" s="73" t="s">
        <v>73</v>
      </c>
      <c r="B6" s="74"/>
      <c r="C6" s="74"/>
      <c r="D6" s="74"/>
      <c r="E6" s="74" t="s">
        <v>147</v>
      </c>
      <c r="F6" s="74" t="s">
        <v>147</v>
      </c>
      <c r="G6" s="74" t="s">
        <v>173</v>
      </c>
      <c r="H6" s="74" t="s">
        <v>173</v>
      </c>
      <c r="I6" s="74" t="s">
        <v>173</v>
      </c>
      <c r="J6" s="74" t="s">
        <v>173</v>
      </c>
      <c r="K6" s="74" t="s">
        <v>173</v>
      </c>
      <c r="L6" s="74" t="s">
        <v>173</v>
      </c>
      <c r="M6" s="74" t="s">
        <v>173</v>
      </c>
      <c r="N6" s="74" t="s">
        <v>147</v>
      </c>
      <c r="O6" s="74" t="s">
        <v>147</v>
      </c>
      <c r="P6" s="74" t="s">
        <v>147</v>
      </c>
      <c r="Q6" s="74" t="s">
        <v>147</v>
      </c>
      <c r="R6" s="74" t="s">
        <v>167</v>
      </c>
      <c r="S6" s="74" t="s">
        <v>167</v>
      </c>
      <c r="T6" s="74" t="s">
        <v>167</v>
      </c>
      <c r="U6" s="74"/>
      <c r="V6" s="75"/>
      <c r="W6" s="75"/>
      <c r="X6" s="75"/>
      <c r="Y6" s="75"/>
      <c r="Z6" s="46"/>
    </row>
    <row r="7" customFormat="false" ht="21" hidden="false" customHeight="true" outlineLevel="0" collapsed="false">
      <c r="A7" s="73" t="s">
        <v>75</v>
      </c>
      <c r="B7" s="74"/>
      <c r="C7" s="74"/>
      <c r="D7" s="74" t="s">
        <v>173</v>
      </c>
      <c r="E7" s="74" t="s">
        <v>173</v>
      </c>
      <c r="F7" s="74" t="s">
        <v>173</v>
      </c>
      <c r="G7" s="74" t="s">
        <v>173</v>
      </c>
      <c r="H7" s="74" t="s">
        <v>173</v>
      </c>
      <c r="I7" s="74" t="s">
        <v>173</v>
      </c>
      <c r="J7" s="74" t="s">
        <v>173</v>
      </c>
      <c r="K7" s="74" t="s">
        <v>173</v>
      </c>
      <c r="L7" s="74" t="s">
        <v>173</v>
      </c>
      <c r="M7" s="74" t="s">
        <v>173</v>
      </c>
      <c r="N7" s="74" t="s">
        <v>173</v>
      </c>
      <c r="O7" s="74" t="s">
        <v>173</v>
      </c>
      <c r="P7" s="74" t="s">
        <v>147</v>
      </c>
      <c r="Q7" s="74" t="s">
        <v>147</v>
      </c>
      <c r="R7" s="74" t="s">
        <v>167</v>
      </c>
      <c r="S7" s="74" t="s">
        <v>167</v>
      </c>
      <c r="T7" s="74" t="s">
        <v>167</v>
      </c>
      <c r="U7" s="74"/>
      <c r="V7" s="74"/>
      <c r="W7" s="74"/>
      <c r="X7" s="74"/>
      <c r="Y7" s="74"/>
      <c r="Z7" s="46"/>
    </row>
    <row r="8" customFormat="false" ht="21" hidden="false" customHeight="true" outlineLevel="0" collapsed="false">
      <c r="A8" s="73" t="s">
        <v>76</v>
      </c>
      <c r="B8" s="74"/>
      <c r="C8" s="74"/>
      <c r="D8" s="74"/>
      <c r="E8" s="74"/>
      <c r="F8" s="74"/>
      <c r="G8" s="74"/>
      <c r="H8" s="75"/>
      <c r="I8" s="75"/>
      <c r="J8" s="75"/>
      <c r="K8" s="75"/>
      <c r="L8" s="74" t="s">
        <v>167</v>
      </c>
      <c r="M8" s="74" t="s">
        <v>167</v>
      </c>
      <c r="N8" s="74" t="s">
        <v>167</v>
      </c>
      <c r="O8" s="74" t="s">
        <v>167</v>
      </c>
      <c r="P8" s="74" t="s">
        <v>167</v>
      </c>
      <c r="Q8" s="74" t="s">
        <v>167</v>
      </c>
      <c r="R8" s="74" t="s">
        <v>167</v>
      </c>
      <c r="S8" s="74" t="s">
        <v>167</v>
      </c>
      <c r="T8" s="74" t="s">
        <v>167</v>
      </c>
      <c r="U8" s="74"/>
      <c r="V8" s="74"/>
      <c r="W8" s="74"/>
      <c r="X8" s="74"/>
      <c r="Y8" s="74"/>
      <c r="Z8" s="46"/>
    </row>
    <row r="9" customFormat="false" ht="21" hidden="false" customHeight="true" outlineLevel="0" collapsed="false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customFormat="false" ht="21" hidden="false" customHeight="true" outlineLevel="0" collapsed="false">
      <c r="A10" s="46"/>
      <c r="B10" s="76" t="s">
        <v>176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customFormat="false" ht="21" hidden="false" customHeight="true" outlineLevel="0" collapsed="false">
      <c r="A11" s="46"/>
      <c r="B11" s="77" t="s">
        <v>177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21" hidden="false" customHeight="true" outlineLevel="0" collapsed="false">
      <c r="A12" s="46"/>
      <c r="B12" s="77" t="s">
        <v>178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21" hidden="false" customHeight="true" outlineLevel="0" collapsed="false">
      <c r="A13" s="46"/>
      <c r="B13" s="78"/>
      <c r="C13" s="79" t="s">
        <v>179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customFormat="false" ht="21" hidden="false" customHeight="true" outlineLevel="0" collapsed="false">
      <c r="A14" s="46"/>
      <c r="B14" s="80"/>
      <c r="C14" s="81" t="s">
        <v>180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customFormat="false" ht="21" hidden="false" customHeight="tru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21" hidden="false" customHeight="true" outlineLevel="0" collapsed="false">
      <c r="A16" s="46"/>
      <c r="B16" s="76" t="s">
        <v>181</v>
      </c>
      <c r="C16" s="76"/>
      <c r="D16" s="76"/>
      <c r="E16" s="76"/>
      <c r="F16" s="76"/>
      <c r="G16" s="76"/>
      <c r="H16" s="76"/>
      <c r="I16" s="76"/>
      <c r="J16" s="46"/>
      <c r="K16" s="76" t="s">
        <v>182</v>
      </c>
      <c r="L16" s="76"/>
      <c r="M16" s="7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21" hidden="false" customHeight="true" outlineLevel="0" collapsed="false">
      <c r="A17" s="46"/>
      <c r="B17" s="82" t="s">
        <v>183</v>
      </c>
      <c r="C17" s="83" t="s">
        <v>184</v>
      </c>
      <c r="D17" s="83"/>
      <c r="E17" s="83"/>
      <c r="F17" s="83"/>
      <c r="G17" s="83"/>
      <c r="H17" s="83"/>
      <c r="I17" s="83"/>
      <c r="J17" s="46"/>
      <c r="K17" s="78" t="s">
        <v>183</v>
      </c>
      <c r="L17" s="78"/>
      <c r="M17" s="79" t="s">
        <v>185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21" hidden="false" customHeight="true" outlineLevel="0" collapsed="false">
      <c r="A18" s="46"/>
      <c r="B18" s="78" t="s">
        <v>147</v>
      </c>
      <c r="C18" s="79" t="s">
        <v>186</v>
      </c>
      <c r="D18" s="79"/>
      <c r="E18" s="79"/>
      <c r="F18" s="79"/>
      <c r="G18" s="79"/>
      <c r="H18" s="79"/>
      <c r="I18" s="79"/>
      <c r="J18" s="46"/>
      <c r="K18" s="78" t="s">
        <v>170</v>
      </c>
      <c r="L18" s="78"/>
      <c r="M18" s="79" t="n">
        <f aca="false">COUNTIF(B4:Y8,"Pref")/2</f>
        <v>8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21" hidden="false" customHeight="true" outlineLevel="0" collapsed="false">
      <c r="A19" s="46"/>
      <c r="B19" s="78" t="s">
        <v>167</v>
      </c>
      <c r="C19" s="79" t="s">
        <v>187</v>
      </c>
      <c r="D19" s="79"/>
      <c r="E19" s="79"/>
      <c r="F19" s="79"/>
      <c r="G19" s="79"/>
      <c r="H19" s="79"/>
      <c r="I19" s="79"/>
      <c r="J19" s="46"/>
      <c r="K19" s="78" t="s">
        <v>188</v>
      </c>
      <c r="L19" s="78"/>
      <c r="M19" s="79" t="n">
        <f aca="false">COUNTIF(B4:Y8,"Yes")/2</f>
        <v>10.5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21" hidden="false" customHeight="true" outlineLevel="0" collapsed="false">
      <c r="A20" s="46"/>
      <c r="B20" s="80" t="s">
        <v>173</v>
      </c>
      <c r="C20" s="81" t="s">
        <v>189</v>
      </c>
      <c r="D20" s="81"/>
      <c r="E20" s="81"/>
      <c r="F20" s="81"/>
      <c r="G20" s="81"/>
      <c r="H20" s="81"/>
      <c r="I20" s="81"/>
      <c r="J20" s="46"/>
      <c r="K20" s="80" t="s">
        <v>190</v>
      </c>
      <c r="L20" s="80"/>
      <c r="M20" s="81" t="n">
        <f aca="false">SUM(M7:M19)</f>
        <v>18.5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21" hidden="false" customHeight="tru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1</v>
      </c>
      <c r="F22" s="31" t="n">
        <f aca="false">COUNTIF(F4,$A$22)</f>
        <v>1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1</v>
      </c>
      <c r="O22" s="31" t="n">
        <f aca="false">COUNTIF(O4,$A$22)</f>
        <v>1</v>
      </c>
      <c r="P22" s="31" t="n">
        <f aca="false">COUNTIF(P4,$A$22)</f>
        <v>1</v>
      </c>
      <c r="Q22" s="31" t="n">
        <f aca="false">COUNTIF(Q4,$A$22)</f>
        <v>1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46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1</v>
      </c>
      <c r="Q23" s="31" t="n">
        <f aca="false">COUNTIF(Q5,$A$22)</f>
        <v>1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46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1</v>
      </c>
      <c r="F24" s="31" t="n">
        <f aca="false">COUNTIF(F6,$A$22)</f>
        <v>1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1</v>
      </c>
      <c r="O24" s="31" t="n">
        <f aca="false">COUNTIF(O6,$A$22)</f>
        <v>1</v>
      </c>
      <c r="P24" s="31" t="n">
        <f aca="false">COUNTIF(P6,$A$22)</f>
        <v>1</v>
      </c>
      <c r="Q24" s="31" t="n">
        <f aca="false">COUNTIF(Q6,$A$22)</f>
        <v>1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46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1</v>
      </c>
      <c r="Q25" s="31" t="n">
        <f aca="false">COUNTIF(Q7,$A$22)</f>
        <v>1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46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46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46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46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1</v>
      </c>
      <c r="S29" s="31" t="n">
        <f aca="false">COUNTIF(S4,$A$29)</f>
        <v>1</v>
      </c>
      <c r="T29" s="31" t="n">
        <f aca="false">COUNTIF(T4,$A$29)</f>
        <v>1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46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0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1</v>
      </c>
      <c r="S30" s="31" t="n">
        <f aca="false">COUNTIF(S5,$A$29)</f>
        <v>1</v>
      </c>
      <c r="T30" s="31" t="n">
        <f aca="false">COUNTIF(T5,$A$29)</f>
        <v>1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46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1</v>
      </c>
      <c r="S31" s="31" t="n">
        <f aca="false">COUNTIF(S6,$A$29)</f>
        <v>1</v>
      </c>
      <c r="T31" s="31" t="n">
        <f aca="false">COUNTIF(T6,$A$29)</f>
        <v>1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46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1</v>
      </c>
      <c r="S32" s="31" t="n">
        <f aca="false">COUNTIF(S7,$A$29)</f>
        <v>1</v>
      </c>
      <c r="T32" s="31" t="n">
        <f aca="false">COUNTIF(T7,$A$29)</f>
        <v>1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46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1</v>
      </c>
      <c r="M33" s="31" t="n">
        <f aca="false">COUNTIF(M8,$A$29)</f>
        <v>1</v>
      </c>
      <c r="N33" s="31" t="n">
        <f aca="false">COUNTIF(N8,$A$29)</f>
        <v>1</v>
      </c>
      <c r="O33" s="31" t="n">
        <f aca="false">COUNTIF(O8,$A$29)</f>
        <v>1</v>
      </c>
      <c r="P33" s="31" t="n">
        <f aca="false">COUNTIF(P8,$A$29)</f>
        <v>1</v>
      </c>
      <c r="Q33" s="31" t="n">
        <f aca="false">COUNTIF(Q8,$A$29)</f>
        <v>1</v>
      </c>
      <c r="R33" s="31" t="n">
        <f aca="false">COUNTIF(R8,$A$29)</f>
        <v>1</v>
      </c>
      <c r="S33" s="31" t="n">
        <f aca="false">COUNTIF(S8,$A$29)</f>
        <v>1</v>
      </c>
      <c r="T33" s="31" t="n">
        <f aca="false">COUNTIF(T8,$A$29)</f>
        <v>1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46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46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1</v>
      </c>
      <c r="H35" s="31" t="n">
        <f aca="false">COUNTIF(H4,$A$35)</f>
        <v>1</v>
      </c>
      <c r="I35" s="31" t="n">
        <f aca="false">COUNTIF(I4,$A$35)</f>
        <v>1</v>
      </c>
      <c r="J35" s="31" t="n">
        <f aca="false">COUNTIF(J4,$A$35)</f>
        <v>1</v>
      </c>
      <c r="K35" s="31" t="n">
        <f aca="false">COUNTIF(K4,$A$35)</f>
        <v>1</v>
      </c>
      <c r="L35" s="31" t="n">
        <f aca="false">COUNTIF(L4,$A$35)</f>
        <v>1</v>
      </c>
      <c r="M35" s="31" t="n">
        <f aca="false">COUNTIF(M4,$A$35)</f>
        <v>1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46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1</v>
      </c>
      <c r="E36" s="31" t="n">
        <f aca="false">COUNTIF(E5,$A$35)</f>
        <v>1</v>
      </c>
      <c r="F36" s="31" t="n">
        <f aca="false">COUNTIF(F5,$A$35)</f>
        <v>1</v>
      </c>
      <c r="G36" s="31" t="n">
        <f aca="false">COUNTIF(G5,$A$35)</f>
        <v>1</v>
      </c>
      <c r="H36" s="31" t="n">
        <f aca="false">COUNTIF(H5,$A$35)</f>
        <v>1</v>
      </c>
      <c r="I36" s="31" t="n">
        <f aca="false">COUNTIF(I5,$A$35)</f>
        <v>1</v>
      </c>
      <c r="J36" s="31" t="n">
        <f aca="false">COUNTIF(J5,$A$35)</f>
        <v>1</v>
      </c>
      <c r="K36" s="31" t="n">
        <f aca="false">COUNTIF(K5,$A$35)</f>
        <v>1</v>
      </c>
      <c r="L36" s="31" t="n">
        <f aca="false">COUNTIF(L5,$A$35)</f>
        <v>1</v>
      </c>
      <c r="M36" s="31" t="n">
        <f aca="false">COUNTIF(M5,$A$35)</f>
        <v>1</v>
      </c>
      <c r="N36" s="31" t="n">
        <f aca="false">COUNTIF(N5,$A$35)</f>
        <v>1</v>
      </c>
      <c r="O36" s="31" t="n">
        <f aca="false">COUNTIF(O5,$A$35)</f>
        <v>1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46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1</v>
      </c>
      <c r="H37" s="31" t="n">
        <f aca="false">COUNTIF(H6,$A$35)</f>
        <v>1</v>
      </c>
      <c r="I37" s="31" t="n">
        <f aca="false">COUNTIF(I6,$A$35)</f>
        <v>1</v>
      </c>
      <c r="J37" s="31" t="n">
        <f aca="false">COUNTIF(J6,$A$35)</f>
        <v>1</v>
      </c>
      <c r="K37" s="31" t="n">
        <f aca="false">COUNTIF(K6,$A$35)</f>
        <v>1</v>
      </c>
      <c r="L37" s="31" t="n">
        <f aca="false">COUNTIF(L6,$A$35)</f>
        <v>1</v>
      </c>
      <c r="M37" s="31" t="n">
        <f aca="false">COUNTIF(M6,$A$35)</f>
        <v>1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46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1</v>
      </c>
      <c r="E38" s="31" t="n">
        <f aca="false">COUNTIF(E7,$A$35)</f>
        <v>1</v>
      </c>
      <c r="F38" s="31" t="n">
        <f aca="false">COUNTIF(F7,$A$35)</f>
        <v>1</v>
      </c>
      <c r="G38" s="31" t="n">
        <f aca="false">COUNTIF(G7,$A$35)</f>
        <v>1</v>
      </c>
      <c r="H38" s="31" t="n">
        <f aca="false">COUNTIF(H7,$A$35)</f>
        <v>1</v>
      </c>
      <c r="I38" s="31" t="n">
        <f aca="false">COUNTIF(I7,$A$35)</f>
        <v>1</v>
      </c>
      <c r="J38" s="31" t="n">
        <f aca="false">COUNTIF(J7,$A$35)</f>
        <v>1</v>
      </c>
      <c r="K38" s="31" t="n">
        <f aca="false">COUNTIF(K7,$A$35)</f>
        <v>1</v>
      </c>
      <c r="L38" s="31" t="n">
        <f aca="false">COUNTIF(L7,$A$35)</f>
        <v>1</v>
      </c>
      <c r="M38" s="31" t="n">
        <f aca="false">COUNTIF(M7,$A$35)</f>
        <v>1</v>
      </c>
      <c r="N38" s="31" t="n">
        <f aca="false">COUNTIF(N7,$A$35)</f>
        <v>1</v>
      </c>
      <c r="O38" s="31" t="n">
        <f aca="false">COUNTIF(O7,$A$35)</f>
        <v>1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46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46"/>
    </row>
    <row r="40" customFormat="false" ht="21" hidden="false" customHeight="tru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customFormat="false" ht="21" hidden="false" customHeight="true" outlineLevel="0" collapsed="false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customFormat="false" ht="21" hidden="false" customHeight="tru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customFormat="false" ht="21" hidden="false" customHeight="true" outlineLevel="0" collapsed="false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customFormat="false" ht="21" hidden="false" customHeight="tru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customFormat="false" ht="21" hidden="false" customHeight="tru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customFormat="false" ht="21" hidden="false" customHeight="tru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customFormat="false" ht="21" hidden="false" customHeight="true" outlineLevel="0" collapsed="false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customFormat="false" ht="21" hidden="false" customHeight="tru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customFormat="false" ht="21" hidden="false" customHeight="tru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customFormat="false" ht="21" hidden="false" customHeight="tru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customFormat="false" ht="21" hidden="false" customHeight="tru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customFormat="false" ht="21" hidden="false" customHeight="tru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customFormat="false" ht="21" hidden="false" customHeight="tru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21" hidden="false" customHeight="tru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21" hidden="false" customHeight="tru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21" hidden="false" customHeight="tru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customFormat="false" ht="21" hidden="false" customHeight="tru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customFormat="false" ht="21" hidden="false" customHeight="tru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customFormat="false" ht="21" hidden="false" customHeight="tru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customFormat="false" ht="21" hidden="false" customHeight="tru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customFormat="false" ht="21" hidden="false" customHeight="tru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customFormat="false" ht="21" hidden="false" customHeight="tru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customFormat="false" ht="21" hidden="false" customHeight="tru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customFormat="false" ht="21" hidden="false" customHeight="tru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customFormat="false" ht="21" hidden="false" customHeight="tru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customFormat="false" ht="21" hidden="false" customHeight="tru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customFormat="false" ht="21" hidden="false" customHeight="tru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customFormat="false" ht="21" hidden="false" customHeight="tru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customFormat="false" ht="21" hidden="false" customHeight="tru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customFormat="false" ht="21" hidden="false" customHeight="tru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customFormat="false" ht="21" hidden="false" customHeight="tru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customFormat="false" ht="21" hidden="false" customHeight="tru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customFormat="false" ht="21" hidden="false" customHeight="tru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customFormat="false" ht="21" hidden="false" customHeight="tru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customFormat="false" ht="21" hidden="false" customHeight="tru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customFormat="false" ht="21" hidden="false" customHeight="tru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customFormat="false" ht="21" hidden="false" customHeight="tru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customFormat="false" ht="21" hidden="false" customHeight="tru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customFormat="false" ht="21" hidden="false" customHeight="tru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customFormat="false" ht="21" hidden="false" customHeight="tru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customFormat="false" ht="21" hidden="false" customHeight="tru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customFormat="false" ht="21" hidden="false" customHeight="tru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customFormat="false" ht="21" hidden="false" customHeight="tru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customFormat="false" ht="21" hidden="false" customHeight="tru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customFormat="false" ht="21" hidden="false" customHeight="tru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customFormat="false" ht="21" hidden="false" customHeight="tru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customFormat="false" ht="21" hidden="false" customHeight="tru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customFormat="false" ht="21" hidden="false" customHeight="tru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customFormat="false" ht="21" hidden="false" customHeight="tru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customFormat="false" ht="21" hidden="false" customHeight="tru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customFormat="false" ht="21" hidden="false" customHeight="tru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customFormat="false" ht="21" hidden="false" customHeight="tru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customFormat="false" ht="21" hidden="false" customHeight="tru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customFormat="false" ht="21" hidden="false" customHeight="tru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customFormat="false" ht="21" hidden="false" customHeight="tru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customFormat="false" ht="21" hidden="false" customHeight="tru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customFormat="false" ht="21" hidden="false" customHeight="tru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customFormat="false" ht="21" hidden="false" customHeight="tru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customFormat="false" ht="21" hidden="false" customHeight="tru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customFormat="false" ht="21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customFormat="false" ht="21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customFormat="false" ht="21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customFormat="false" ht="21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customFormat="false" ht="21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customFormat="false" ht="21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Format="false" ht="21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customFormat="false" ht="21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customFormat="false" ht="21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customFormat="false" ht="21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customFormat="false" ht="21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customFormat="false" ht="21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customFormat="false" ht="21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customFormat="false" ht="21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customFormat="false" ht="21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customFormat="false" ht="21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customFormat="false" ht="21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customFormat="false" ht="21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customFormat="false" ht="21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customFormat="false" ht="21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customFormat="false" ht="21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customFormat="false" ht="21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customFormat="false" ht="21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customFormat="false" ht="21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customFormat="false" ht="21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customFormat="false" ht="21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customFormat="false" ht="21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customFormat="false" ht="21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customFormat="false" ht="21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customFormat="false" ht="21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customFormat="false" ht="21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customFormat="false" ht="21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customFormat="false" ht="21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customFormat="false" ht="21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customFormat="false" ht="21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customFormat="false" ht="21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customFormat="false" ht="21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customFormat="false" ht="21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customFormat="false" ht="21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customFormat="false" ht="21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customFormat="false" ht="21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customFormat="false" ht="21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customFormat="false" ht="21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customFormat="false" ht="21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customFormat="false" ht="21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customFormat="false" ht="21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customFormat="false" ht="21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customFormat="false" ht="21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customFormat="false" ht="21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customFormat="false" ht="21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customFormat="false" ht="21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customFormat="false" ht="21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customFormat="false" ht="21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customFormat="false" ht="21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customFormat="false" ht="21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customFormat="false" ht="21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customFormat="false" ht="21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customFormat="false" ht="21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customFormat="false" ht="21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customFormat="false" ht="21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customFormat="false" ht="21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customFormat="false" ht="21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customFormat="false" ht="21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customFormat="false" ht="21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customFormat="false" ht="21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customFormat="false" ht="21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customFormat="false" ht="21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customFormat="false" ht="21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customFormat="false" ht="21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customFormat="false" ht="21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customFormat="false" ht="21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customFormat="false" ht="21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customFormat="false" ht="21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customFormat="false" ht="21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customFormat="false" ht="21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customFormat="false" ht="21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customFormat="false" ht="21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customFormat="false" ht="21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customFormat="false" ht="21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customFormat="false" ht="21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customFormat="false" ht="21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customFormat="false" ht="21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customFormat="false" ht="21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customFormat="false" ht="21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customFormat="false" ht="21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customFormat="false" ht="21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customFormat="false" ht="21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customFormat="false" ht="21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customFormat="false" ht="21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customFormat="false" ht="21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customFormat="false" ht="21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customFormat="false" ht="21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customFormat="false" ht="21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customFormat="false" ht="21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customFormat="false" ht="21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customFormat="false" ht="21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customFormat="false" ht="21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customFormat="false" ht="21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customFormat="false" ht="21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customFormat="false" ht="21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customFormat="false" ht="21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customFormat="false" ht="21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customFormat="false" ht="21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customFormat="false" ht="21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customFormat="false" ht="21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customFormat="false" ht="21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customFormat="false" ht="21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customFormat="false" ht="21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customFormat="false" ht="21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customFormat="false" ht="21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customFormat="false" ht="21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customFormat="false" ht="21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customFormat="false" ht="21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customFormat="false" ht="21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customFormat="false" ht="21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customFormat="false" ht="21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customFormat="false" ht="21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customFormat="false" ht="21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customFormat="false" ht="21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customFormat="false" ht="21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customFormat="false" ht="21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customFormat="false" ht="21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customFormat="false" ht="21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customFormat="false" ht="21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customFormat="false" ht="21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customFormat="false" ht="21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customFormat="false" ht="21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customFormat="false" ht="21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customFormat="false" ht="21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customFormat="false" ht="21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customFormat="false" ht="21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customFormat="false" ht="21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customFormat="false" ht="21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customFormat="false" ht="21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customFormat="false" ht="21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customFormat="false" ht="21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customFormat="false" ht="21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customFormat="false" ht="21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customFormat="false" ht="21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customFormat="false" ht="21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209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4"/>
      <c r="E5" s="34"/>
      <c r="F5" s="34" t="s">
        <v>147</v>
      </c>
      <c r="G5" s="34" t="s">
        <v>147</v>
      </c>
      <c r="H5" s="34" t="s">
        <v>147</v>
      </c>
      <c r="I5" s="34" t="s">
        <v>147</v>
      </c>
      <c r="J5" s="34" t="s">
        <v>147</v>
      </c>
      <c r="K5" s="34" t="s">
        <v>147</v>
      </c>
      <c r="L5" s="34" t="s">
        <v>147</v>
      </c>
      <c r="M5" s="34" t="s">
        <v>147</v>
      </c>
      <c r="N5" s="34" t="s">
        <v>167</v>
      </c>
      <c r="O5" s="34" t="s">
        <v>167</v>
      </c>
      <c r="P5" s="34" t="s">
        <v>167</v>
      </c>
      <c r="Q5" s="34" t="s">
        <v>167</v>
      </c>
      <c r="R5" s="34" t="s">
        <v>167</v>
      </c>
      <c r="S5" s="34" t="s">
        <v>167</v>
      </c>
      <c r="T5" s="34" t="s">
        <v>167</v>
      </c>
      <c r="U5" s="34" t="s">
        <v>167</v>
      </c>
      <c r="V5" s="34" t="s">
        <v>167</v>
      </c>
      <c r="W5" s="34" t="s">
        <v>167</v>
      </c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 t="s">
        <v>147</v>
      </c>
      <c r="O6" s="34" t="s">
        <v>147</v>
      </c>
      <c r="P6" s="34" t="s">
        <v>147</v>
      </c>
      <c r="Q6" s="34" t="s">
        <v>147</v>
      </c>
      <c r="R6" s="34" t="s">
        <v>147</v>
      </c>
      <c r="S6" s="34" t="s">
        <v>147</v>
      </c>
      <c r="T6" s="34" t="s">
        <v>167</v>
      </c>
      <c r="U6" s="34" t="s">
        <v>167</v>
      </c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4"/>
      <c r="E7" s="34"/>
      <c r="F7" s="34" t="s">
        <v>147</v>
      </c>
      <c r="G7" s="34" t="s">
        <v>147</v>
      </c>
      <c r="H7" s="34" t="s">
        <v>147</v>
      </c>
      <c r="I7" s="34" t="s">
        <v>147</v>
      </c>
      <c r="J7" s="34" t="s">
        <v>147</v>
      </c>
      <c r="K7" s="34" t="s">
        <v>147</v>
      </c>
      <c r="L7" s="34" t="s">
        <v>147</v>
      </c>
      <c r="M7" s="34" t="s">
        <v>147</v>
      </c>
      <c r="N7" s="34" t="s">
        <v>167</v>
      </c>
      <c r="O7" s="34" t="s">
        <v>167</v>
      </c>
      <c r="P7" s="34" t="s">
        <v>167</v>
      </c>
      <c r="Q7" s="34" t="s">
        <v>167</v>
      </c>
      <c r="R7" s="34" t="s">
        <v>167</v>
      </c>
      <c r="S7" s="34" t="s">
        <v>167</v>
      </c>
      <c r="T7" s="34" t="s">
        <v>167</v>
      </c>
      <c r="U7" s="34" t="s">
        <v>167</v>
      </c>
      <c r="V7" s="34" t="s">
        <v>167</v>
      </c>
      <c r="W7" s="34" t="s">
        <v>167</v>
      </c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/>
      <c r="E8" s="34"/>
      <c r="F8" s="34"/>
      <c r="G8" s="34"/>
      <c r="H8" s="38"/>
      <c r="I8" s="38"/>
      <c r="J8" s="38"/>
      <c r="K8" s="38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11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11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22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1</v>
      </c>
      <c r="G23" s="31" t="n">
        <f aca="false">COUNTIF(G5,$A$22)</f>
        <v>1</v>
      </c>
      <c r="H23" s="31" t="n">
        <f aca="false">COUNTIF(H5,$A$22)</f>
        <v>1</v>
      </c>
      <c r="I23" s="31" t="n">
        <f aca="false">COUNTIF(I5,$A$22)</f>
        <v>1</v>
      </c>
      <c r="J23" s="31" t="n">
        <f aca="false">COUNTIF(J5,$A$22)</f>
        <v>1</v>
      </c>
      <c r="K23" s="31" t="n">
        <f aca="false">COUNTIF(K5,$A$22)</f>
        <v>1</v>
      </c>
      <c r="L23" s="31" t="n">
        <f aca="false">COUNTIF(L5,$A$22)</f>
        <v>1</v>
      </c>
      <c r="M23" s="31" t="n">
        <f aca="false">COUNTIF(M5,$A$22)</f>
        <v>1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1</v>
      </c>
      <c r="O24" s="31" t="n">
        <f aca="false">COUNTIF(O6,$A$22)</f>
        <v>1</v>
      </c>
      <c r="P24" s="31" t="n">
        <f aca="false">COUNTIF(P6,$A$22)</f>
        <v>1</v>
      </c>
      <c r="Q24" s="31" t="n">
        <f aca="false">COUNTIF(Q6,$A$22)</f>
        <v>1</v>
      </c>
      <c r="R24" s="31" t="n">
        <f aca="false">COUNTIF(R6,$A$22)</f>
        <v>1</v>
      </c>
      <c r="S24" s="31" t="n">
        <f aca="false">COUNTIF(S6,$A$22)</f>
        <v>1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1</v>
      </c>
      <c r="G25" s="31" t="n">
        <f aca="false">COUNTIF(G7,$A$22)</f>
        <v>1</v>
      </c>
      <c r="H25" s="31" t="n">
        <f aca="false">COUNTIF(H7,$A$22)</f>
        <v>1</v>
      </c>
      <c r="I25" s="31" t="n">
        <f aca="false">COUNTIF(I7,$A$22)</f>
        <v>1</v>
      </c>
      <c r="J25" s="31" t="n">
        <f aca="false">COUNTIF(J7,$A$22)</f>
        <v>1</v>
      </c>
      <c r="K25" s="31" t="n">
        <f aca="false">COUNTIF(K7,$A$22)</f>
        <v>1</v>
      </c>
      <c r="L25" s="31" t="n">
        <f aca="false">COUNTIF(L7,$A$22)</f>
        <v>1</v>
      </c>
      <c r="M25" s="31" t="n">
        <f aca="false">COUNTIF(M7,$A$22)</f>
        <v>1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1</v>
      </c>
      <c r="O30" s="31" t="n">
        <f aca="false">COUNTIF(O5,$A$29)</f>
        <v>1</v>
      </c>
      <c r="P30" s="31" t="n">
        <f aca="false">COUNTIF(P5,$A$29)</f>
        <v>1</v>
      </c>
      <c r="Q30" s="31" t="n">
        <f aca="false">COUNTIF(Q5,$A$29)</f>
        <v>1</v>
      </c>
      <c r="R30" s="31" t="n">
        <f aca="false">COUNTIF(R5,$A$29)</f>
        <v>1</v>
      </c>
      <c r="S30" s="31" t="n">
        <f aca="false">COUNTIF(S5,$A$29)</f>
        <v>1</v>
      </c>
      <c r="T30" s="31" t="n">
        <f aca="false">COUNTIF(T5,$A$29)</f>
        <v>1</v>
      </c>
      <c r="U30" s="31" t="n">
        <f aca="false">COUNTIF(U5,$A$29)</f>
        <v>1</v>
      </c>
      <c r="V30" s="31" t="n">
        <f aca="false">COUNTIF(V5,$A$29)</f>
        <v>1</v>
      </c>
      <c r="W30" s="31" t="n">
        <f aca="false">COUNTIF(W5,$A$29)</f>
        <v>1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1</v>
      </c>
      <c r="U31" s="31" t="n">
        <f aca="false">COUNTIF(U6,$A$29)</f>
        <v>1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1</v>
      </c>
      <c r="O32" s="31" t="n">
        <f aca="false">COUNTIF(O7,$A$29)</f>
        <v>1</v>
      </c>
      <c r="P32" s="31" t="n">
        <f aca="false">COUNTIF(P7,$A$29)</f>
        <v>1</v>
      </c>
      <c r="Q32" s="31" t="n">
        <f aca="false">COUNTIF(Q7,$A$29)</f>
        <v>1</v>
      </c>
      <c r="R32" s="31" t="n">
        <f aca="false">COUNTIF(R7,$A$29)</f>
        <v>1</v>
      </c>
      <c r="S32" s="31" t="n">
        <f aca="false">COUNTIF(S7,$A$29)</f>
        <v>1</v>
      </c>
      <c r="T32" s="31" t="n">
        <f aca="false">COUNTIF(T7,$A$29)</f>
        <v>1</v>
      </c>
      <c r="U32" s="31" t="n">
        <f aca="false">COUNTIF(U7,$A$29)</f>
        <v>1</v>
      </c>
      <c r="V32" s="31" t="n">
        <f aca="false">COUNTIF(V7,$A$29)</f>
        <v>1</v>
      </c>
      <c r="W32" s="31" t="n">
        <f aca="false">COUNTIF(W7,$A$29)</f>
        <v>1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164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 t="s">
        <v>167</v>
      </c>
      <c r="E4" s="34" t="s">
        <v>167</v>
      </c>
      <c r="F4" s="34" t="s">
        <v>167</v>
      </c>
      <c r="G4" s="34" t="s">
        <v>167</v>
      </c>
      <c r="H4" s="34"/>
      <c r="I4" s="34"/>
      <c r="J4" s="34"/>
      <c r="K4" s="34"/>
      <c r="L4" s="34" t="s">
        <v>167</v>
      </c>
      <c r="M4" s="34" t="s">
        <v>167</v>
      </c>
      <c r="N4" s="34" t="s">
        <v>167</v>
      </c>
      <c r="O4" s="34" t="s">
        <v>167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4" t="s">
        <v>147</v>
      </c>
      <c r="E5" s="34" t="s">
        <v>147</v>
      </c>
      <c r="F5" s="34" t="s">
        <v>147</v>
      </c>
      <c r="G5" s="34" t="s">
        <v>147</v>
      </c>
      <c r="H5" s="34" t="s">
        <v>147</v>
      </c>
      <c r="I5" s="34" t="s">
        <v>147</v>
      </c>
      <c r="J5" s="34" t="s">
        <v>147</v>
      </c>
      <c r="K5" s="34" t="s">
        <v>147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 t="s">
        <v>167</v>
      </c>
      <c r="E6" s="34" t="s">
        <v>167</v>
      </c>
      <c r="F6" s="34" t="s">
        <v>167</v>
      </c>
      <c r="G6" s="34" t="s">
        <v>167</v>
      </c>
      <c r="H6" s="34"/>
      <c r="I6" s="34"/>
      <c r="J6" s="34"/>
      <c r="K6" s="34"/>
      <c r="L6" s="34" t="s">
        <v>167</v>
      </c>
      <c r="M6" s="34" t="s">
        <v>167</v>
      </c>
      <c r="N6" s="34" t="s">
        <v>167</v>
      </c>
      <c r="O6" s="34" t="s">
        <v>167</v>
      </c>
      <c r="P6" s="34"/>
      <c r="Q6" s="34"/>
      <c r="R6" s="34"/>
      <c r="S6" s="34"/>
      <c r="T6" s="34"/>
      <c r="U6" s="34"/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4" t="s">
        <v>147</v>
      </c>
      <c r="E7" s="34" t="s">
        <v>147</v>
      </c>
      <c r="F7" s="34" t="s">
        <v>147</v>
      </c>
      <c r="G7" s="34" t="s">
        <v>147</v>
      </c>
      <c r="H7" s="34" t="s">
        <v>147</v>
      </c>
      <c r="I7" s="34" t="s">
        <v>147</v>
      </c>
      <c r="J7" s="34" t="s">
        <v>147</v>
      </c>
      <c r="K7" s="34" t="s">
        <v>147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/>
      <c r="E8" s="34"/>
      <c r="F8" s="34"/>
      <c r="G8" s="34"/>
      <c r="H8" s="38"/>
      <c r="I8" s="38"/>
      <c r="J8" s="38"/>
      <c r="K8" s="38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8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16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1</v>
      </c>
      <c r="E23" s="31" t="n">
        <f aca="false">COUNTIF(E5,$A$22)</f>
        <v>1</v>
      </c>
      <c r="F23" s="31" t="n">
        <f aca="false">COUNTIF(F5,$A$22)</f>
        <v>1</v>
      </c>
      <c r="G23" s="31" t="n">
        <f aca="false">COUNTIF(G5,$A$22)</f>
        <v>1</v>
      </c>
      <c r="H23" s="31" t="n">
        <f aca="false">COUNTIF(H5,$A$22)</f>
        <v>1</v>
      </c>
      <c r="I23" s="31" t="n">
        <f aca="false">COUNTIF(I5,$A$22)</f>
        <v>1</v>
      </c>
      <c r="J23" s="31" t="n">
        <f aca="false">COUNTIF(J5,$A$22)</f>
        <v>1</v>
      </c>
      <c r="K23" s="31" t="n">
        <f aca="false">COUNTIF(K5,$A$22)</f>
        <v>1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1</v>
      </c>
      <c r="E25" s="31" t="n">
        <f aca="false">COUNTIF(E7,$A$22)</f>
        <v>1</v>
      </c>
      <c r="F25" s="31" t="n">
        <f aca="false">COUNTIF(F7,$A$22)</f>
        <v>1</v>
      </c>
      <c r="G25" s="31" t="n">
        <f aca="false">COUNTIF(G7,$A$22)</f>
        <v>1</v>
      </c>
      <c r="H25" s="31" t="n">
        <f aca="false">COUNTIF(H7,$A$22)</f>
        <v>1</v>
      </c>
      <c r="I25" s="31" t="n">
        <f aca="false">COUNTIF(I7,$A$22)</f>
        <v>1</v>
      </c>
      <c r="J25" s="31" t="n">
        <f aca="false">COUNTIF(J7,$A$22)</f>
        <v>1</v>
      </c>
      <c r="K25" s="31" t="n">
        <f aca="false">COUNTIF(K7,$A$22)</f>
        <v>1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1</v>
      </c>
      <c r="E29" s="31" t="n">
        <f aca="false">COUNTIF(E4,$A$29)</f>
        <v>1</v>
      </c>
      <c r="F29" s="31" t="n">
        <f aca="false">COUNTIF(F4,$A$29)</f>
        <v>1</v>
      </c>
      <c r="G29" s="31" t="n">
        <f aca="false">COUNTIF(G4,$A$29)</f>
        <v>1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1</v>
      </c>
      <c r="M29" s="31" t="n">
        <f aca="false">COUNTIF(M4,$A$29)</f>
        <v>1</v>
      </c>
      <c r="N29" s="31" t="n">
        <f aca="false">COUNTIF(N4,$A$29)</f>
        <v>1</v>
      </c>
      <c r="O29" s="31" t="n">
        <f aca="false">COUNTIF(O4,$A$29)</f>
        <v>1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0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1</v>
      </c>
      <c r="E31" s="31" t="n">
        <f aca="false">COUNTIF(E6,$A$29)</f>
        <v>1</v>
      </c>
      <c r="F31" s="31" t="n">
        <f aca="false">COUNTIF(F6,$A$29)</f>
        <v>1</v>
      </c>
      <c r="G31" s="31" t="n">
        <f aca="false">COUNTIF(G6,$A$29)</f>
        <v>1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1</v>
      </c>
      <c r="M31" s="31" t="n">
        <f aca="false">COUNTIF(M6,$A$29)</f>
        <v>1</v>
      </c>
      <c r="N31" s="31" t="n">
        <f aca="false">COUNTIF(N6,$A$29)</f>
        <v>1</v>
      </c>
      <c r="O31" s="31" t="n">
        <f aca="false">COUNTIF(O6,$A$29)</f>
        <v>1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/>
      <c r="E4" s="34"/>
      <c r="F4" s="34"/>
      <c r="G4" s="34"/>
      <c r="H4" s="34" t="s">
        <v>173</v>
      </c>
      <c r="I4" s="34" t="s">
        <v>173</v>
      </c>
      <c r="J4" s="34" t="s">
        <v>173</v>
      </c>
      <c r="K4" s="34" t="s">
        <v>173</v>
      </c>
      <c r="L4" s="34" t="s">
        <v>147</v>
      </c>
      <c r="M4" s="34" t="s">
        <v>147</v>
      </c>
      <c r="N4" s="34" t="s">
        <v>147</v>
      </c>
      <c r="O4" s="34" t="s">
        <v>147</v>
      </c>
      <c r="P4" s="34" t="s">
        <v>147</v>
      </c>
      <c r="Q4" s="34" t="s">
        <v>147</v>
      </c>
      <c r="R4" s="34" t="s">
        <v>147</v>
      </c>
      <c r="S4" s="34" t="s">
        <v>147</v>
      </c>
      <c r="T4" s="34"/>
      <c r="U4" s="34"/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4"/>
      <c r="E5" s="34"/>
      <c r="F5" s="34"/>
      <c r="G5" s="34"/>
      <c r="H5" s="34" t="s">
        <v>167</v>
      </c>
      <c r="I5" s="34" t="s">
        <v>167</v>
      </c>
      <c r="J5" s="34" t="s">
        <v>167</v>
      </c>
      <c r="K5" s="34" t="s">
        <v>167</v>
      </c>
      <c r="L5" s="34" t="s">
        <v>167</v>
      </c>
      <c r="M5" s="34" t="s">
        <v>167</v>
      </c>
      <c r="N5" s="34" t="s">
        <v>167</v>
      </c>
      <c r="O5" s="34" t="s">
        <v>167</v>
      </c>
      <c r="P5" s="34" t="s">
        <v>167</v>
      </c>
      <c r="Q5" s="34" t="s">
        <v>167</v>
      </c>
      <c r="R5" s="34" t="s">
        <v>167</v>
      </c>
      <c r="S5" s="34" t="s">
        <v>167</v>
      </c>
      <c r="T5" s="34"/>
      <c r="U5" s="34"/>
      <c r="V5" s="34"/>
      <c r="W5" s="34"/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/>
      <c r="E6" s="34"/>
      <c r="F6" s="34"/>
      <c r="G6" s="34"/>
      <c r="H6" s="34" t="s">
        <v>173</v>
      </c>
      <c r="I6" s="34" t="s">
        <v>173</v>
      </c>
      <c r="J6" s="34" t="s">
        <v>173</v>
      </c>
      <c r="K6" s="34" t="s">
        <v>173</v>
      </c>
      <c r="L6" s="34" t="s">
        <v>147</v>
      </c>
      <c r="M6" s="34" t="s">
        <v>147</v>
      </c>
      <c r="N6" s="34" t="s">
        <v>147</v>
      </c>
      <c r="O6" s="34" t="s">
        <v>147</v>
      </c>
      <c r="P6" s="34" t="s">
        <v>147</v>
      </c>
      <c r="Q6" s="34" t="s">
        <v>147</v>
      </c>
      <c r="R6" s="34" t="s">
        <v>147</v>
      </c>
      <c r="S6" s="34" t="s">
        <v>147</v>
      </c>
      <c r="T6" s="34"/>
      <c r="U6" s="34"/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4"/>
      <c r="E7" s="34"/>
      <c r="F7" s="34"/>
      <c r="G7" s="34"/>
      <c r="H7" s="34" t="s">
        <v>167</v>
      </c>
      <c r="I7" s="34" t="s">
        <v>167</v>
      </c>
      <c r="J7" s="34" t="s">
        <v>167</v>
      </c>
      <c r="K7" s="34" t="s">
        <v>167</v>
      </c>
      <c r="L7" s="34" t="s">
        <v>167</v>
      </c>
      <c r="M7" s="34" t="s">
        <v>167</v>
      </c>
      <c r="N7" s="34" t="s">
        <v>167</v>
      </c>
      <c r="O7" s="34" t="s">
        <v>167</v>
      </c>
      <c r="P7" s="34" t="s">
        <v>167</v>
      </c>
      <c r="Q7" s="34" t="s">
        <v>167</v>
      </c>
      <c r="R7" s="34" t="s">
        <v>167</v>
      </c>
      <c r="S7" s="34" t="s">
        <v>167</v>
      </c>
      <c r="T7" s="34"/>
      <c r="U7" s="34"/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/>
      <c r="E8" s="34"/>
      <c r="F8" s="34"/>
      <c r="G8" s="34"/>
      <c r="H8" s="38"/>
      <c r="I8" s="38"/>
      <c r="J8" s="38"/>
      <c r="K8" s="38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12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20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1</v>
      </c>
      <c r="M22" s="31" t="n">
        <f aca="false">COUNTIF(M4,$A$22)</f>
        <v>1</v>
      </c>
      <c r="N22" s="31" t="n">
        <f aca="false">COUNTIF(N4,$A$22)</f>
        <v>1</v>
      </c>
      <c r="O22" s="31" t="n">
        <f aca="false">COUNTIF(O4,$A$22)</f>
        <v>1</v>
      </c>
      <c r="P22" s="31" t="n">
        <f aca="false">COUNTIF(P4,$A$22)</f>
        <v>1</v>
      </c>
      <c r="Q22" s="31" t="n">
        <f aca="false">COUNTIF(Q4,$A$22)</f>
        <v>1</v>
      </c>
      <c r="R22" s="31" t="n">
        <f aca="false">COUNTIF(R4,$A$22)</f>
        <v>1</v>
      </c>
      <c r="S22" s="31" t="n">
        <f aca="false">COUNTIF(S4,$A$22)</f>
        <v>1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1</v>
      </c>
      <c r="M24" s="31" t="n">
        <f aca="false">COUNTIF(M6,$A$22)</f>
        <v>1</v>
      </c>
      <c r="N24" s="31" t="n">
        <f aca="false">COUNTIF(N6,$A$22)</f>
        <v>1</v>
      </c>
      <c r="O24" s="31" t="n">
        <f aca="false">COUNTIF(O6,$A$22)</f>
        <v>1</v>
      </c>
      <c r="P24" s="31" t="n">
        <f aca="false">COUNTIF(P6,$A$22)</f>
        <v>1</v>
      </c>
      <c r="Q24" s="31" t="n">
        <f aca="false">COUNTIF(Q6,$A$22)</f>
        <v>1</v>
      </c>
      <c r="R24" s="31" t="n">
        <f aca="false">COUNTIF(R6,$A$22)</f>
        <v>1</v>
      </c>
      <c r="S24" s="31" t="n">
        <f aca="false">COUNTIF(S6,$A$22)</f>
        <v>1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1</v>
      </c>
      <c r="I30" s="31" t="n">
        <f aca="false">COUNTIF(I5,$A$29)</f>
        <v>1</v>
      </c>
      <c r="J30" s="31" t="n">
        <f aca="false">COUNTIF(J5,$A$29)</f>
        <v>1</v>
      </c>
      <c r="K30" s="31" t="n">
        <f aca="false">COUNTIF(K5,$A$29)</f>
        <v>1</v>
      </c>
      <c r="L30" s="31" t="n">
        <f aca="false">COUNTIF(L5,$A$29)</f>
        <v>1</v>
      </c>
      <c r="M30" s="31" t="n">
        <f aca="false">COUNTIF(M5,$A$29)</f>
        <v>1</v>
      </c>
      <c r="N30" s="31" t="n">
        <f aca="false">COUNTIF(N5,$A$29)</f>
        <v>1</v>
      </c>
      <c r="O30" s="31" t="n">
        <f aca="false">COUNTIF(O5,$A$29)</f>
        <v>1</v>
      </c>
      <c r="P30" s="31" t="n">
        <f aca="false">COUNTIF(P5,$A$29)</f>
        <v>1</v>
      </c>
      <c r="Q30" s="31" t="n">
        <f aca="false">COUNTIF(Q5,$A$29)</f>
        <v>1</v>
      </c>
      <c r="R30" s="31" t="n">
        <f aca="false">COUNTIF(R5,$A$29)</f>
        <v>1</v>
      </c>
      <c r="S30" s="31" t="n">
        <f aca="false">COUNTIF(S5,$A$29)</f>
        <v>1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1</v>
      </c>
      <c r="I32" s="31" t="n">
        <f aca="false">COUNTIF(I7,$A$29)</f>
        <v>1</v>
      </c>
      <c r="J32" s="31" t="n">
        <f aca="false">COUNTIF(J7,$A$29)</f>
        <v>1</v>
      </c>
      <c r="K32" s="31" t="n">
        <f aca="false">COUNTIF(K7,$A$29)</f>
        <v>1</v>
      </c>
      <c r="L32" s="31" t="n">
        <f aca="false">COUNTIF(L7,$A$29)</f>
        <v>1</v>
      </c>
      <c r="M32" s="31" t="n">
        <f aca="false">COUNTIF(M7,$A$29)</f>
        <v>1</v>
      </c>
      <c r="N32" s="31" t="n">
        <f aca="false">COUNTIF(N7,$A$29)</f>
        <v>1</v>
      </c>
      <c r="O32" s="31" t="n">
        <f aca="false">COUNTIF(O7,$A$29)</f>
        <v>1</v>
      </c>
      <c r="P32" s="31" t="n">
        <f aca="false">COUNTIF(P7,$A$29)</f>
        <v>1</v>
      </c>
      <c r="Q32" s="31" t="n">
        <f aca="false">COUNTIF(Q7,$A$29)</f>
        <v>1</v>
      </c>
      <c r="R32" s="31" t="n">
        <f aca="false">COUNTIF(R7,$A$29)</f>
        <v>1</v>
      </c>
      <c r="S32" s="31" t="n">
        <f aca="false">COUNTIF(S7,$A$29)</f>
        <v>1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1</v>
      </c>
      <c r="I35" s="31" t="n">
        <f aca="false">COUNTIF(I4,$A$35)</f>
        <v>1</v>
      </c>
      <c r="J35" s="31" t="n">
        <f aca="false">COUNTIF(J4,$A$35)</f>
        <v>1</v>
      </c>
      <c r="K35" s="31" t="n">
        <f aca="false">COUNTIF(K4,$A$35)</f>
        <v>1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1</v>
      </c>
      <c r="I37" s="31" t="n">
        <f aca="false">COUNTIF(I6,$A$35)</f>
        <v>1</v>
      </c>
      <c r="J37" s="31" t="n">
        <f aca="false">COUNTIF(J6,$A$35)</f>
        <v>1</v>
      </c>
      <c r="K37" s="31" t="n">
        <f aca="false">COUNTIF(K6,$A$35)</f>
        <v>1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209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 t="s">
        <v>167</v>
      </c>
      <c r="C4" s="34" t="s">
        <v>167</v>
      </c>
      <c r="D4" s="34" t="s">
        <v>147</v>
      </c>
      <c r="E4" s="34" t="s">
        <v>147</v>
      </c>
      <c r="F4" s="34" t="s">
        <v>147</v>
      </c>
      <c r="G4" s="34" t="s">
        <v>147</v>
      </c>
      <c r="H4" s="34" t="s">
        <v>147</v>
      </c>
      <c r="I4" s="34" t="s">
        <v>147</v>
      </c>
      <c r="J4" s="34" t="s">
        <v>147</v>
      </c>
      <c r="K4" s="34" t="s">
        <v>147</v>
      </c>
      <c r="L4" s="34" t="s">
        <v>167</v>
      </c>
      <c r="M4" s="34" t="s">
        <v>167</v>
      </c>
      <c r="N4" s="34" t="s">
        <v>167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 t="s">
        <v>167</v>
      </c>
      <c r="C5" s="34" t="s">
        <v>167</v>
      </c>
      <c r="D5" s="34" t="s">
        <v>147</v>
      </c>
      <c r="E5" s="34" t="s">
        <v>147</v>
      </c>
      <c r="F5" s="34" t="s">
        <v>147</v>
      </c>
      <c r="G5" s="34" t="s">
        <v>147</v>
      </c>
      <c r="H5" s="34" t="s">
        <v>147</v>
      </c>
      <c r="I5" s="34" t="s">
        <v>147</v>
      </c>
      <c r="J5" s="34" t="s">
        <v>147</v>
      </c>
      <c r="K5" s="34" t="s">
        <v>147</v>
      </c>
      <c r="L5" s="34" t="s">
        <v>167</v>
      </c>
      <c r="M5" s="34" t="s">
        <v>167</v>
      </c>
      <c r="N5" s="34" t="s">
        <v>167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 t="s">
        <v>167</v>
      </c>
      <c r="C6" s="34" t="s">
        <v>167</v>
      </c>
      <c r="D6" s="34" t="s">
        <v>147</v>
      </c>
      <c r="E6" s="34" t="s">
        <v>147</v>
      </c>
      <c r="F6" s="34" t="s">
        <v>147</v>
      </c>
      <c r="G6" s="34" t="s">
        <v>147</v>
      </c>
      <c r="H6" s="34" t="s">
        <v>147</v>
      </c>
      <c r="I6" s="34" t="s">
        <v>147</v>
      </c>
      <c r="J6" s="34" t="s">
        <v>147</v>
      </c>
      <c r="K6" s="34" t="s">
        <v>147</v>
      </c>
      <c r="L6" s="34" t="s">
        <v>167</v>
      </c>
      <c r="M6" s="34" t="s">
        <v>167</v>
      </c>
      <c r="N6" s="34" t="s">
        <v>167</v>
      </c>
      <c r="O6" s="34"/>
      <c r="P6" s="34"/>
      <c r="Q6" s="34"/>
      <c r="R6" s="34"/>
      <c r="S6" s="34"/>
      <c r="T6" s="34"/>
      <c r="U6" s="34"/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 t="s">
        <v>167</v>
      </c>
      <c r="C7" s="34" t="s">
        <v>167</v>
      </c>
      <c r="D7" s="34" t="s">
        <v>147</v>
      </c>
      <c r="E7" s="34" t="s">
        <v>147</v>
      </c>
      <c r="F7" s="34" t="s">
        <v>147</v>
      </c>
      <c r="G7" s="34" t="s">
        <v>147</v>
      </c>
      <c r="H7" s="34" t="s">
        <v>147</v>
      </c>
      <c r="I7" s="34" t="s">
        <v>147</v>
      </c>
      <c r="J7" s="34" t="s">
        <v>147</v>
      </c>
      <c r="K7" s="34" t="s">
        <v>147</v>
      </c>
      <c r="L7" s="34" t="s">
        <v>167</v>
      </c>
      <c r="M7" s="34" t="s">
        <v>167</v>
      </c>
      <c r="N7" s="34" t="s">
        <v>167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 t="s">
        <v>167</v>
      </c>
      <c r="C8" s="34" t="s">
        <v>167</v>
      </c>
      <c r="D8" s="34" t="s">
        <v>147</v>
      </c>
      <c r="E8" s="34" t="s">
        <v>147</v>
      </c>
      <c r="F8" s="34" t="s">
        <v>147</v>
      </c>
      <c r="G8" s="34" t="s">
        <v>147</v>
      </c>
      <c r="H8" s="38"/>
      <c r="I8" s="38"/>
      <c r="J8" s="38"/>
      <c r="K8" s="38"/>
      <c r="L8" s="34" t="s">
        <v>167</v>
      </c>
      <c r="M8" s="34" t="s">
        <v>167</v>
      </c>
      <c r="N8" s="34" t="s">
        <v>167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18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12.5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30.5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1</v>
      </c>
      <c r="E22" s="31" t="n">
        <f aca="false">COUNTIF(E4,$A$22)</f>
        <v>1</v>
      </c>
      <c r="F22" s="31" t="n">
        <f aca="false">COUNTIF(F4,$A$22)</f>
        <v>1</v>
      </c>
      <c r="G22" s="31" t="n">
        <f aca="false">COUNTIF(G4,$A$22)</f>
        <v>1</v>
      </c>
      <c r="H22" s="31" t="n">
        <f aca="false">COUNTIF(H4,$A$22)</f>
        <v>1</v>
      </c>
      <c r="I22" s="31" t="n">
        <f aca="false">COUNTIF(I4,$A$22)</f>
        <v>1</v>
      </c>
      <c r="J22" s="31" t="n">
        <f aca="false">COUNTIF(J4,$A$22)</f>
        <v>1</v>
      </c>
      <c r="K22" s="31" t="n">
        <f aca="false">COUNTIF(K4,$A$22)</f>
        <v>1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1</v>
      </c>
      <c r="E23" s="31" t="n">
        <f aca="false">COUNTIF(E5,$A$22)</f>
        <v>1</v>
      </c>
      <c r="F23" s="31" t="n">
        <f aca="false">COUNTIF(F5,$A$22)</f>
        <v>1</v>
      </c>
      <c r="G23" s="31" t="n">
        <f aca="false">COUNTIF(G5,$A$22)</f>
        <v>1</v>
      </c>
      <c r="H23" s="31" t="n">
        <f aca="false">COUNTIF(H5,$A$22)</f>
        <v>1</v>
      </c>
      <c r="I23" s="31" t="n">
        <f aca="false">COUNTIF(I5,$A$22)</f>
        <v>1</v>
      </c>
      <c r="J23" s="31" t="n">
        <f aca="false">COUNTIF(J5,$A$22)</f>
        <v>1</v>
      </c>
      <c r="K23" s="31" t="n">
        <f aca="false">COUNTIF(K5,$A$22)</f>
        <v>1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1</v>
      </c>
      <c r="E24" s="31" t="n">
        <f aca="false">COUNTIF(E6,$A$22)</f>
        <v>1</v>
      </c>
      <c r="F24" s="31" t="n">
        <f aca="false">COUNTIF(F6,$A$22)</f>
        <v>1</v>
      </c>
      <c r="G24" s="31" t="n">
        <f aca="false">COUNTIF(G6,$A$22)</f>
        <v>1</v>
      </c>
      <c r="H24" s="31" t="n">
        <f aca="false">COUNTIF(H6,$A$22)</f>
        <v>1</v>
      </c>
      <c r="I24" s="31" t="n">
        <f aca="false">COUNTIF(I6,$A$22)</f>
        <v>1</v>
      </c>
      <c r="J24" s="31" t="n">
        <f aca="false">COUNTIF(J6,$A$22)</f>
        <v>1</v>
      </c>
      <c r="K24" s="31" t="n">
        <f aca="false">COUNTIF(K6,$A$22)</f>
        <v>1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1</v>
      </c>
      <c r="E25" s="31" t="n">
        <f aca="false">COUNTIF(E7,$A$22)</f>
        <v>1</v>
      </c>
      <c r="F25" s="31" t="n">
        <f aca="false">COUNTIF(F7,$A$22)</f>
        <v>1</v>
      </c>
      <c r="G25" s="31" t="n">
        <f aca="false">COUNTIF(G7,$A$22)</f>
        <v>1</v>
      </c>
      <c r="H25" s="31" t="n">
        <f aca="false">COUNTIF(H7,$A$22)</f>
        <v>1</v>
      </c>
      <c r="I25" s="31" t="n">
        <f aca="false">COUNTIF(I7,$A$22)</f>
        <v>1</v>
      </c>
      <c r="J25" s="31" t="n">
        <f aca="false">COUNTIF(J7,$A$22)</f>
        <v>1</v>
      </c>
      <c r="K25" s="31" t="n">
        <f aca="false">COUNTIF(K7,$A$22)</f>
        <v>1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1</v>
      </c>
      <c r="E26" s="31" t="n">
        <f aca="false">COUNTIF(E8,$A$22)</f>
        <v>1</v>
      </c>
      <c r="F26" s="31" t="n">
        <f aca="false">COUNTIF(F8,$A$22)</f>
        <v>1</v>
      </c>
      <c r="G26" s="31" t="n">
        <f aca="false">COUNTIF(G8,$A$22)</f>
        <v>1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1</v>
      </c>
      <c r="C29" s="31" t="n">
        <f aca="false">COUNTIF(C4,$A$29)</f>
        <v>1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1</v>
      </c>
      <c r="M29" s="31" t="n">
        <f aca="false">COUNTIF(M4,$A$29)</f>
        <v>1</v>
      </c>
      <c r="N29" s="31" t="n">
        <f aca="false">COUNTIF(N4,$A$29)</f>
        <v>1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1</v>
      </c>
      <c r="C30" s="31" t="n">
        <f aca="false">COUNTIF(C5,$A$29)</f>
        <v>1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1</v>
      </c>
      <c r="M30" s="31" t="n">
        <f aca="false">COUNTIF(M5,$A$29)</f>
        <v>1</v>
      </c>
      <c r="N30" s="31" t="n">
        <f aca="false">COUNTIF(N5,$A$29)</f>
        <v>1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1</v>
      </c>
      <c r="C31" s="31" t="n">
        <f aca="false">COUNTIF(C6,$A$29)</f>
        <v>1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1</v>
      </c>
      <c r="M31" s="31" t="n">
        <f aca="false">COUNTIF(M6,$A$29)</f>
        <v>1</v>
      </c>
      <c r="N31" s="31" t="n">
        <f aca="false">COUNTIF(N6,$A$29)</f>
        <v>1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1</v>
      </c>
      <c r="C32" s="31" t="n">
        <f aca="false">COUNTIF(C7,$A$29)</f>
        <v>1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1</v>
      </c>
      <c r="M32" s="31" t="n">
        <f aca="false">COUNTIF(M7,$A$29)</f>
        <v>1</v>
      </c>
      <c r="N32" s="31" t="n">
        <f aca="false">COUNTIF(N7,$A$29)</f>
        <v>1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1</v>
      </c>
      <c r="C33" s="31" t="n">
        <f aca="false">COUNTIF(C8,$A$29)</f>
        <v>1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1</v>
      </c>
      <c r="M33" s="31" t="n">
        <f aca="false">COUNTIF(M8,$A$29)</f>
        <v>1</v>
      </c>
      <c r="N33" s="31" t="n">
        <f aca="false">COUNTIF(N8,$A$29)</f>
        <v>1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46" t="s">
        <v>214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21" hidden="false" customHeight="tru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customFormat="false" ht="21" hidden="false" customHeight="true" outlineLevel="0" collapsed="false">
      <c r="A3" s="46"/>
      <c r="B3" s="72" t="s">
        <v>0</v>
      </c>
      <c r="C3" s="72" t="s">
        <v>1</v>
      </c>
      <c r="D3" s="72" t="s">
        <v>2</v>
      </c>
      <c r="E3" s="72" t="s">
        <v>3</v>
      </c>
      <c r="F3" s="72" t="s">
        <v>4</v>
      </c>
      <c r="G3" s="72" t="s">
        <v>5</v>
      </c>
      <c r="H3" s="72" t="s">
        <v>6</v>
      </c>
      <c r="I3" s="72" t="s">
        <v>7</v>
      </c>
      <c r="J3" s="72" t="s">
        <v>8</v>
      </c>
      <c r="K3" s="72" t="s">
        <v>9</v>
      </c>
      <c r="L3" s="72" t="s">
        <v>10</v>
      </c>
      <c r="M3" s="72" t="s">
        <v>11</v>
      </c>
      <c r="N3" s="72" t="s">
        <v>12</v>
      </c>
      <c r="O3" s="72" t="s">
        <v>13</v>
      </c>
      <c r="P3" s="72" t="s">
        <v>14</v>
      </c>
      <c r="Q3" s="72" t="s">
        <v>15</v>
      </c>
      <c r="R3" s="72" t="s">
        <v>16</v>
      </c>
      <c r="S3" s="72" t="s">
        <v>17</v>
      </c>
      <c r="T3" s="72" t="s">
        <v>18</v>
      </c>
      <c r="U3" s="72" t="s">
        <v>19</v>
      </c>
      <c r="V3" s="72" t="s">
        <v>20</v>
      </c>
      <c r="W3" s="72" t="s">
        <v>21</v>
      </c>
      <c r="X3" s="72" t="s">
        <v>22</v>
      </c>
      <c r="Y3" s="72" t="s">
        <v>23</v>
      </c>
      <c r="Z3" s="46"/>
    </row>
    <row r="4" customFormat="false" ht="21" hidden="false" customHeight="true" outlineLevel="0" collapsed="false">
      <c r="A4" s="73" t="s">
        <v>24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 t="s">
        <v>215</v>
      </c>
      <c r="M4" s="74" t="s">
        <v>215</v>
      </c>
      <c r="N4" s="74" t="s">
        <v>215</v>
      </c>
      <c r="O4" s="74" t="s">
        <v>215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46"/>
    </row>
    <row r="5" customFormat="false" ht="21" hidden="false" customHeight="true" outlineLevel="0" collapsed="false">
      <c r="A5" s="73" t="s">
        <v>66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 t="s">
        <v>216</v>
      </c>
      <c r="O5" s="74" t="s">
        <v>216</v>
      </c>
      <c r="P5" s="74" t="s">
        <v>216</v>
      </c>
      <c r="Q5" s="74" t="s">
        <v>216</v>
      </c>
      <c r="R5" s="74" t="s">
        <v>215</v>
      </c>
      <c r="S5" s="74" t="s">
        <v>215</v>
      </c>
      <c r="T5" s="74"/>
      <c r="U5" s="74"/>
      <c r="V5" s="74"/>
      <c r="W5" s="74"/>
      <c r="X5" s="74"/>
      <c r="Y5" s="74"/>
      <c r="Z5" s="46"/>
    </row>
    <row r="6" customFormat="false" ht="21" hidden="false" customHeight="true" outlineLevel="0" collapsed="false">
      <c r="A6" s="73" t="s">
        <v>73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 t="s">
        <v>215</v>
      </c>
      <c r="M6" s="74" t="s">
        <v>215</v>
      </c>
      <c r="N6" s="74" t="s">
        <v>215</v>
      </c>
      <c r="O6" s="74" t="s">
        <v>215</v>
      </c>
      <c r="P6" s="74"/>
      <c r="Q6" s="74"/>
      <c r="R6" s="74"/>
      <c r="S6" s="74"/>
      <c r="T6" s="74"/>
      <c r="U6" s="74"/>
      <c r="V6" s="75"/>
      <c r="W6" s="75"/>
      <c r="X6" s="75"/>
      <c r="Y6" s="75"/>
      <c r="Z6" s="46"/>
    </row>
    <row r="7" customFormat="false" ht="21" hidden="false" customHeight="true" outlineLevel="0" collapsed="false">
      <c r="A7" s="73" t="s">
        <v>75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 t="s">
        <v>216</v>
      </c>
      <c r="O7" s="74" t="s">
        <v>216</v>
      </c>
      <c r="P7" s="74" t="s">
        <v>216</v>
      </c>
      <c r="Q7" s="74" t="s">
        <v>216</v>
      </c>
      <c r="R7" s="74" t="s">
        <v>215</v>
      </c>
      <c r="S7" s="74" t="s">
        <v>215</v>
      </c>
      <c r="T7" s="74"/>
      <c r="U7" s="74"/>
      <c r="V7" s="74"/>
      <c r="W7" s="74"/>
      <c r="X7" s="74"/>
      <c r="Y7" s="74"/>
      <c r="Z7" s="46"/>
    </row>
    <row r="8" customFormat="false" ht="21" hidden="false" customHeight="true" outlineLevel="0" collapsed="false">
      <c r="A8" s="73" t="s">
        <v>76</v>
      </c>
      <c r="B8" s="74"/>
      <c r="C8" s="74"/>
      <c r="D8" s="74"/>
      <c r="E8" s="74"/>
      <c r="F8" s="74"/>
      <c r="G8" s="74"/>
      <c r="H8" s="75"/>
      <c r="I8" s="75"/>
      <c r="J8" s="75"/>
      <c r="K8" s="75"/>
      <c r="L8" s="74"/>
      <c r="M8" s="74"/>
      <c r="N8" s="74"/>
      <c r="O8" s="74"/>
      <c r="P8" s="74" t="s">
        <v>216</v>
      </c>
      <c r="Q8" s="74" t="s">
        <v>216</v>
      </c>
      <c r="R8" s="74" t="s">
        <v>216</v>
      </c>
      <c r="S8" s="74" t="s">
        <v>216</v>
      </c>
      <c r="T8" s="74"/>
      <c r="U8" s="74"/>
      <c r="V8" s="74"/>
      <c r="W8" s="74"/>
      <c r="X8" s="74"/>
      <c r="Y8" s="74"/>
      <c r="Z8" s="46"/>
    </row>
    <row r="9" customFormat="false" ht="21" hidden="false" customHeight="true" outlineLevel="0" collapsed="false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customFormat="false" ht="21" hidden="false" customHeight="true" outlineLevel="0" collapsed="false">
      <c r="A10" s="46"/>
      <c r="B10" s="76" t="s">
        <v>176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customFormat="false" ht="21" hidden="false" customHeight="true" outlineLevel="0" collapsed="false">
      <c r="A11" s="46"/>
      <c r="B11" s="77" t="s">
        <v>177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21" hidden="false" customHeight="true" outlineLevel="0" collapsed="false">
      <c r="A12" s="46"/>
      <c r="B12" s="77" t="s">
        <v>178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21" hidden="false" customHeight="true" outlineLevel="0" collapsed="false">
      <c r="A13" s="46"/>
      <c r="B13" s="78"/>
      <c r="C13" s="79" t="s">
        <v>179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customFormat="false" ht="21" hidden="false" customHeight="true" outlineLevel="0" collapsed="false">
      <c r="A14" s="46"/>
      <c r="B14" s="80"/>
      <c r="C14" s="81" t="s">
        <v>180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customFormat="false" ht="21" hidden="false" customHeight="tru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21" hidden="false" customHeight="true" outlineLevel="0" collapsed="false">
      <c r="A16" s="46"/>
      <c r="B16" s="76" t="s">
        <v>181</v>
      </c>
      <c r="C16" s="76"/>
      <c r="D16" s="76"/>
      <c r="E16" s="76"/>
      <c r="F16" s="76"/>
      <c r="G16" s="76"/>
      <c r="H16" s="76"/>
      <c r="I16" s="76"/>
      <c r="J16" s="46"/>
      <c r="K16" s="76" t="s">
        <v>182</v>
      </c>
      <c r="L16" s="76"/>
      <c r="M16" s="7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21" hidden="false" customHeight="true" outlineLevel="0" collapsed="false">
      <c r="A17" s="46"/>
      <c r="B17" s="82" t="s">
        <v>183</v>
      </c>
      <c r="C17" s="83" t="s">
        <v>184</v>
      </c>
      <c r="D17" s="83"/>
      <c r="E17" s="83"/>
      <c r="F17" s="83"/>
      <c r="G17" s="83"/>
      <c r="H17" s="83"/>
      <c r="I17" s="83"/>
      <c r="J17" s="46"/>
      <c r="K17" s="78" t="s">
        <v>183</v>
      </c>
      <c r="L17" s="78"/>
      <c r="M17" s="79" t="s">
        <v>185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21" hidden="false" customHeight="true" outlineLevel="0" collapsed="false">
      <c r="A18" s="46"/>
      <c r="B18" s="78" t="s">
        <v>147</v>
      </c>
      <c r="C18" s="79" t="s">
        <v>186</v>
      </c>
      <c r="D18" s="79"/>
      <c r="E18" s="79"/>
      <c r="F18" s="79"/>
      <c r="G18" s="79"/>
      <c r="H18" s="79"/>
      <c r="I18" s="79"/>
      <c r="J18" s="46"/>
      <c r="K18" s="78" t="s">
        <v>170</v>
      </c>
      <c r="L18" s="78"/>
      <c r="M18" s="79" t="n">
        <f aca="false">COUNTIF(B4:Y8,"Pref")/2</f>
        <v>6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21" hidden="false" customHeight="true" outlineLevel="0" collapsed="false">
      <c r="A19" s="46"/>
      <c r="B19" s="78" t="s">
        <v>167</v>
      </c>
      <c r="C19" s="79" t="s">
        <v>187</v>
      </c>
      <c r="D19" s="79"/>
      <c r="E19" s="79"/>
      <c r="F19" s="79"/>
      <c r="G19" s="79"/>
      <c r="H19" s="79"/>
      <c r="I19" s="79"/>
      <c r="J19" s="46"/>
      <c r="K19" s="78" t="s">
        <v>188</v>
      </c>
      <c r="L19" s="78"/>
      <c r="M19" s="79" t="n">
        <f aca="false">COUNTIF(B4:Y8,"Yes")/2</f>
        <v>6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21" hidden="false" customHeight="true" outlineLevel="0" collapsed="false">
      <c r="A20" s="46"/>
      <c r="B20" s="80" t="s">
        <v>173</v>
      </c>
      <c r="C20" s="81" t="s">
        <v>189</v>
      </c>
      <c r="D20" s="81"/>
      <c r="E20" s="81"/>
      <c r="F20" s="81"/>
      <c r="G20" s="81"/>
      <c r="H20" s="81"/>
      <c r="I20" s="81"/>
      <c r="J20" s="46"/>
      <c r="K20" s="80" t="s">
        <v>190</v>
      </c>
      <c r="L20" s="80"/>
      <c r="M20" s="81" t="n">
        <f aca="false">SUM(M7:M19)</f>
        <v>12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21" hidden="false" customHeight="tru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46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1</v>
      </c>
      <c r="O23" s="31" t="n">
        <f aca="false">COUNTIF(O5,$A$22)</f>
        <v>1</v>
      </c>
      <c r="P23" s="31" t="n">
        <f aca="false">COUNTIF(P5,$A$22)</f>
        <v>1</v>
      </c>
      <c r="Q23" s="31" t="n">
        <f aca="false">COUNTIF(Q5,$A$22)</f>
        <v>1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46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46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1</v>
      </c>
      <c r="O25" s="31" t="n">
        <f aca="false">COUNTIF(O7,$A$22)</f>
        <v>1</v>
      </c>
      <c r="P25" s="31" t="n">
        <f aca="false">COUNTIF(P7,$A$22)</f>
        <v>1</v>
      </c>
      <c r="Q25" s="31" t="n">
        <f aca="false">COUNTIF(Q7,$A$22)</f>
        <v>1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46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1</v>
      </c>
      <c r="Q26" s="31" t="n">
        <f aca="false">COUNTIF(Q8,$A$22)</f>
        <v>1</v>
      </c>
      <c r="R26" s="31" t="n">
        <f aca="false">COUNTIF(R8,$A$22)</f>
        <v>1</v>
      </c>
      <c r="S26" s="31" t="n">
        <f aca="false">COUNTIF(S8,$A$22)</f>
        <v>1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46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46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46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1</v>
      </c>
      <c r="M29" s="31" t="n">
        <f aca="false">COUNTIF(M4,$A$29)</f>
        <v>1</v>
      </c>
      <c r="N29" s="31" t="n">
        <f aca="false">COUNTIF(N4,$A$29)</f>
        <v>1</v>
      </c>
      <c r="O29" s="31" t="n">
        <f aca="false">COUNTIF(O4,$A$29)</f>
        <v>1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46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0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1</v>
      </c>
      <c r="S30" s="31" t="n">
        <f aca="false">COUNTIF(S5,$A$29)</f>
        <v>1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46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1</v>
      </c>
      <c r="M31" s="31" t="n">
        <f aca="false">COUNTIF(M6,$A$29)</f>
        <v>1</v>
      </c>
      <c r="N31" s="31" t="n">
        <f aca="false">COUNTIF(N6,$A$29)</f>
        <v>1</v>
      </c>
      <c r="O31" s="31" t="n">
        <f aca="false">COUNTIF(O6,$A$29)</f>
        <v>1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46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1</v>
      </c>
      <c r="S32" s="31" t="n">
        <f aca="false">COUNTIF(S7,$A$29)</f>
        <v>1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46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46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46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46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46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46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46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46"/>
    </row>
    <row r="40" customFormat="false" ht="21" hidden="false" customHeight="tru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customFormat="false" ht="21" hidden="false" customHeight="true" outlineLevel="0" collapsed="false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customFormat="false" ht="21" hidden="false" customHeight="tru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customFormat="false" ht="21" hidden="false" customHeight="true" outlineLevel="0" collapsed="false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customFormat="false" ht="21" hidden="false" customHeight="tru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customFormat="false" ht="21" hidden="false" customHeight="tru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customFormat="false" ht="21" hidden="false" customHeight="tru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customFormat="false" ht="21" hidden="false" customHeight="true" outlineLevel="0" collapsed="false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customFormat="false" ht="21" hidden="false" customHeight="tru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customFormat="false" ht="21" hidden="false" customHeight="tru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customFormat="false" ht="21" hidden="false" customHeight="tru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customFormat="false" ht="21" hidden="false" customHeight="tru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customFormat="false" ht="21" hidden="false" customHeight="tru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customFormat="false" ht="21" hidden="false" customHeight="tru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21" hidden="false" customHeight="tru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21" hidden="false" customHeight="tru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21" hidden="false" customHeight="tru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customFormat="false" ht="21" hidden="false" customHeight="tru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customFormat="false" ht="21" hidden="false" customHeight="tru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customFormat="false" ht="21" hidden="false" customHeight="tru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customFormat="false" ht="21" hidden="false" customHeight="tru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customFormat="false" ht="21" hidden="false" customHeight="tru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customFormat="false" ht="21" hidden="false" customHeight="tru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customFormat="false" ht="21" hidden="false" customHeight="tru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customFormat="false" ht="21" hidden="false" customHeight="tru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customFormat="false" ht="21" hidden="false" customHeight="tru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customFormat="false" ht="21" hidden="false" customHeight="tru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customFormat="false" ht="21" hidden="false" customHeight="tru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customFormat="false" ht="21" hidden="false" customHeight="tru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customFormat="false" ht="21" hidden="false" customHeight="tru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customFormat="false" ht="21" hidden="false" customHeight="tru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customFormat="false" ht="21" hidden="false" customHeight="tru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customFormat="false" ht="21" hidden="false" customHeight="tru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customFormat="false" ht="21" hidden="false" customHeight="tru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customFormat="false" ht="21" hidden="false" customHeight="tru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customFormat="false" ht="21" hidden="false" customHeight="tru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customFormat="false" ht="21" hidden="false" customHeight="tru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customFormat="false" ht="21" hidden="false" customHeight="tru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customFormat="false" ht="21" hidden="false" customHeight="tru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customFormat="false" ht="21" hidden="false" customHeight="tru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customFormat="false" ht="21" hidden="false" customHeight="tru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customFormat="false" ht="21" hidden="false" customHeight="tru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customFormat="false" ht="21" hidden="false" customHeight="tru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customFormat="false" ht="21" hidden="false" customHeight="tru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customFormat="false" ht="21" hidden="false" customHeight="tru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customFormat="false" ht="21" hidden="false" customHeight="tru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customFormat="false" ht="21" hidden="false" customHeight="tru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customFormat="false" ht="21" hidden="false" customHeight="tru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customFormat="false" ht="21" hidden="false" customHeight="tru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customFormat="false" ht="21" hidden="false" customHeight="tru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customFormat="false" ht="21" hidden="false" customHeight="tru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customFormat="false" ht="21" hidden="false" customHeight="tru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customFormat="false" ht="21" hidden="false" customHeight="tru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customFormat="false" ht="21" hidden="false" customHeight="tru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customFormat="false" ht="21" hidden="false" customHeight="tru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customFormat="false" ht="21" hidden="false" customHeight="tru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customFormat="false" ht="21" hidden="false" customHeight="tru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customFormat="false" ht="21" hidden="false" customHeight="tru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customFormat="false" ht="21" hidden="false" customHeight="tru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customFormat="false" ht="21" hidden="false" customHeight="tru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customFormat="false" ht="21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customFormat="false" ht="21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customFormat="false" ht="21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customFormat="false" ht="21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customFormat="false" ht="21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customFormat="false" ht="21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Format="false" ht="21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customFormat="false" ht="21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customFormat="false" ht="21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customFormat="false" ht="21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customFormat="false" ht="21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customFormat="false" ht="21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customFormat="false" ht="21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customFormat="false" ht="21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customFormat="false" ht="21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customFormat="false" ht="21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customFormat="false" ht="21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customFormat="false" ht="21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customFormat="false" ht="21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customFormat="false" ht="21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customFormat="false" ht="21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customFormat="false" ht="21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customFormat="false" ht="21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customFormat="false" ht="21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customFormat="false" ht="21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customFormat="false" ht="21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customFormat="false" ht="21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customFormat="false" ht="21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customFormat="false" ht="21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customFormat="false" ht="21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customFormat="false" ht="21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customFormat="false" ht="21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customFormat="false" ht="21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customFormat="false" ht="21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customFormat="false" ht="21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customFormat="false" ht="21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customFormat="false" ht="21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customFormat="false" ht="21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customFormat="false" ht="21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customFormat="false" ht="21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customFormat="false" ht="21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customFormat="false" ht="21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customFormat="false" ht="21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customFormat="false" ht="21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customFormat="false" ht="21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customFormat="false" ht="21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customFormat="false" ht="21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customFormat="false" ht="21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customFormat="false" ht="21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customFormat="false" ht="21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customFormat="false" ht="21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customFormat="false" ht="21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customFormat="false" ht="21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customFormat="false" ht="21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customFormat="false" ht="21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customFormat="false" ht="21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customFormat="false" ht="21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customFormat="false" ht="21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customFormat="false" ht="21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customFormat="false" ht="21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customFormat="false" ht="21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customFormat="false" ht="21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customFormat="false" ht="21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customFormat="false" ht="21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customFormat="false" ht="21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customFormat="false" ht="21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customFormat="false" ht="21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customFormat="false" ht="21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customFormat="false" ht="21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customFormat="false" ht="21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customFormat="false" ht="21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customFormat="false" ht="21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customFormat="false" ht="21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customFormat="false" ht="21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customFormat="false" ht="21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customFormat="false" ht="21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customFormat="false" ht="21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customFormat="false" ht="21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customFormat="false" ht="21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customFormat="false" ht="21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customFormat="false" ht="21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customFormat="false" ht="21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customFormat="false" ht="21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customFormat="false" ht="21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customFormat="false" ht="21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customFormat="false" ht="21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customFormat="false" ht="21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customFormat="false" ht="21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customFormat="false" ht="21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customFormat="false" ht="21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customFormat="false" ht="21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customFormat="false" ht="21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customFormat="false" ht="21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customFormat="false" ht="21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customFormat="false" ht="21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customFormat="false" ht="21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customFormat="false" ht="21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customFormat="false" ht="21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customFormat="false" ht="21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customFormat="false" ht="21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customFormat="false" ht="21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customFormat="false" ht="21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customFormat="false" ht="21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customFormat="false" ht="21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customFormat="false" ht="21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customFormat="false" ht="21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customFormat="false" ht="21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customFormat="false" ht="21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customFormat="false" ht="21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customFormat="false" ht="21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customFormat="false" ht="21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customFormat="false" ht="21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customFormat="false" ht="21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customFormat="false" ht="21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customFormat="false" ht="21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customFormat="false" ht="21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customFormat="false" ht="21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customFormat="false" ht="21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customFormat="false" ht="21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customFormat="false" ht="21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customFormat="false" ht="21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customFormat="false" ht="21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customFormat="false" ht="21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customFormat="false" ht="21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customFormat="false" ht="21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customFormat="false" ht="21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customFormat="false" ht="21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customFormat="false" ht="21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customFormat="false" ht="21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customFormat="false" ht="21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customFormat="false" ht="21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customFormat="false" ht="21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customFormat="false" ht="21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customFormat="false" ht="21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customFormat="false" ht="21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customFormat="false" ht="21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customFormat="false" ht="21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customFormat="false" ht="21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customFormat="false" ht="21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customFormat="false" ht="21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19.5" hidden="false" customHeight="true" outlineLevel="0" collapsed="false">
      <c r="A1" s="84" t="s">
        <v>217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6"/>
    </row>
    <row r="2" customFormat="false" ht="15" hidden="false" customHeight="true" outlineLevel="0" collapsed="false">
      <c r="A2" s="85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6"/>
    </row>
    <row r="3" customFormat="false" ht="66" hidden="false" customHeight="true" outlineLevel="0" collapsed="false">
      <c r="A3" s="88"/>
      <c r="B3" s="89" t="s">
        <v>0</v>
      </c>
      <c r="C3" s="89" t="s">
        <v>1</v>
      </c>
      <c r="D3" s="89" t="s">
        <v>2</v>
      </c>
      <c r="E3" s="89" t="s">
        <v>3</v>
      </c>
      <c r="F3" s="89" t="s">
        <v>4</v>
      </c>
      <c r="G3" s="89" t="s">
        <v>5</v>
      </c>
      <c r="H3" s="89" t="s">
        <v>6</v>
      </c>
      <c r="I3" s="89" t="s">
        <v>7</v>
      </c>
      <c r="J3" s="89" t="s">
        <v>8</v>
      </c>
      <c r="K3" s="89" t="s">
        <v>9</v>
      </c>
      <c r="L3" s="89" t="s">
        <v>10</v>
      </c>
      <c r="M3" s="89" t="s">
        <v>11</v>
      </c>
      <c r="N3" s="89" t="s">
        <v>12</v>
      </c>
      <c r="O3" s="89" t="s">
        <v>13</v>
      </c>
      <c r="P3" s="89" t="s">
        <v>14</v>
      </c>
      <c r="Q3" s="89" t="s">
        <v>15</v>
      </c>
      <c r="R3" s="89" t="s">
        <v>16</v>
      </c>
      <c r="S3" s="89" t="s">
        <v>17</v>
      </c>
      <c r="T3" s="89" t="s">
        <v>18</v>
      </c>
      <c r="U3" s="89" t="s">
        <v>19</v>
      </c>
      <c r="V3" s="89" t="s">
        <v>20</v>
      </c>
      <c r="W3" s="89" t="s">
        <v>21</v>
      </c>
      <c r="X3" s="89" t="s">
        <v>22</v>
      </c>
      <c r="Y3" s="89" t="s">
        <v>23</v>
      </c>
      <c r="Z3" s="86"/>
    </row>
    <row r="4" customFormat="false" ht="19.5" hidden="false" customHeight="true" outlineLevel="0" collapsed="false">
      <c r="A4" s="90" t="s">
        <v>24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 t="s">
        <v>147</v>
      </c>
      <c r="U4" s="92" t="s">
        <v>147</v>
      </c>
      <c r="V4" s="92" t="s">
        <v>147</v>
      </c>
      <c r="W4" s="92" t="s">
        <v>147</v>
      </c>
      <c r="X4" s="92" t="s">
        <v>147</v>
      </c>
      <c r="Y4" s="92" t="s">
        <v>147</v>
      </c>
      <c r="Z4" s="86"/>
    </row>
    <row r="5" customFormat="false" ht="19.5" hidden="false" customHeight="true" outlineLevel="0" collapsed="false">
      <c r="A5" s="90" t="s">
        <v>66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86"/>
    </row>
    <row r="6" customFormat="false" ht="19.5" hidden="false" customHeight="true" outlineLevel="0" collapsed="false">
      <c r="A6" s="90" t="s">
        <v>73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2" t="s">
        <v>147</v>
      </c>
      <c r="U6" s="92" t="s">
        <v>147</v>
      </c>
      <c r="V6" s="75"/>
      <c r="W6" s="75"/>
      <c r="X6" s="75"/>
      <c r="Y6" s="75"/>
      <c r="Z6" s="86"/>
    </row>
    <row r="7" customFormat="false" ht="19.5" hidden="false" customHeight="true" outlineLevel="0" collapsed="false">
      <c r="A7" s="90" t="s">
        <v>75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86"/>
    </row>
    <row r="8" customFormat="false" ht="19.5" hidden="false" customHeight="true" outlineLevel="0" collapsed="false">
      <c r="A8" s="90" t="s">
        <v>76</v>
      </c>
      <c r="B8" s="91"/>
      <c r="C8" s="91"/>
      <c r="D8" s="91"/>
      <c r="E8" s="91"/>
      <c r="F8" s="91"/>
      <c r="G8" s="91"/>
      <c r="H8" s="75"/>
      <c r="I8" s="75"/>
      <c r="J8" s="75"/>
      <c r="K8" s="75"/>
      <c r="L8" s="92" t="s">
        <v>147</v>
      </c>
      <c r="M8" s="92" t="s">
        <v>147</v>
      </c>
      <c r="N8" s="92" t="s">
        <v>147</v>
      </c>
      <c r="O8" s="92" t="s">
        <v>147</v>
      </c>
      <c r="P8" s="92" t="s">
        <v>147</v>
      </c>
      <c r="Q8" s="92" t="s">
        <v>147</v>
      </c>
      <c r="R8" s="92" t="s">
        <v>147</v>
      </c>
      <c r="S8" s="92" t="s">
        <v>147</v>
      </c>
      <c r="T8" s="92" t="s">
        <v>167</v>
      </c>
      <c r="U8" s="92" t="s">
        <v>167</v>
      </c>
      <c r="V8" s="92" t="s">
        <v>167</v>
      </c>
      <c r="W8" s="92" t="s">
        <v>167</v>
      </c>
      <c r="X8" s="91"/>
      <c r="Y8" s="91"/>
      <c r="Z8" s="86"/>
    </row>
    <row r="9" customFormat="false" ht="21.75" hidden="false" customHeight="true" outlineLevel="0" collapsed="false">
      <c r="A9" s="93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3"/>
      <c r="R9" s="93"/>
      <c r="S9" s="93"/>
      <c r="T9" s="93"/>
      <c r="U9" s="93"/>
      <c r="V9" s="93"/>
      <c r="W9" s="93"/>
      <c r="X9" s="93"/>
      <c r="Y9" s="93"/>
      <c r="Z9" s="86"/>
    </row>
    <row r="10" customFormat="false" ht="25.5" hidden="false" customHeight="true" outlineLevel="0" collapsed="false">
      <c r="A10" s="95"/>
      <c r="B10" s="96" t="s">
        <v>176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7"/>
      <c r="R10" s="85"/>
      <c r="S10" s="85"/>
      <c r="T10" s="85"/>
      <c r="U10" s="85"/>
      <c r="V10" s="85"/>
      <c r="W10" s="85"/>
      <c r="X10" s="85"/>
      <c r="Y10" s="85"/>
      <c r="Z10" s="86"/>
    </row>
    <row r="11" customFormat="false" ht="19.5" hidden="false" customHeight="true" outlineLevel="0" collapsed="false">
      <c r="A11" s="95"/>
      <c r="B11" s="98" t="s">
        <v>177</v>
      </c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7"/>
      <c r="R11" s="85"/>
      <c r="S11" s="85"/>
      <c r="T11" s="85"/>
      <c r="U11" s="85"/>
      <c r="V11" s="85"/>
      <c r="W11" s="85"/>
      <c r="X11" s="85"/>
      <c r="Y11" s="85"/>
      <c r="Z11" s="86"/>
    </row>
    <row r="12" customFormat="false" ht="19.5" hidden="false" customHeight="true" outlineLevel="0" collapsed="false">
      <c r="A12" s="95"/>
      <c r="B12" s="98" t="s">
        <v>178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7"/>
      <c r="R12" s="85"/>
      <c r="S12" s="85"/>
      <c r="T12" s="85"/>
      <c r="U12" s="85"/>
      <c r="V12" s="85"/>
      <c r="W12" s="85"/>
      <c r="X12" s="85"/>
      <c r="Y12" s="85"/>
      <c r="Z12" s="86"/>
    </row>
    <row r="13" customFormat="false" ht="19.5" hidden="false" customHeight="true" outlineLevel="0" collapsed="false">
      <c r="A13" s="95"/>
      <c r="B13" s="97"/>
      <c r="C13" s="99" t="s">
        <v>179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7"/>
      <c r="R13" s="85"/>
      <c r="S13" s="85"/>
      <c r="T13" s="85"/>
      <c r="U13" s="85"/>
      <c r="V13" s="85"/>
      <c r="W13" s="85"/>
      <c r="X13" s="85"/>
      <c r="Y13" s="85"/>
      <c r="Z13" s="86"/>
    </row>
    <row r="14" customFormat="false" ht="21.75" hidden="false" customHeight="true" outlineLevel="0" collapsed="false">
      <c r="A14" s="95"/>
      <c r="B14" s="100"/>
      <c r="C14" s="101" t="s">
        <v>180</v>
      </c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97"/>
      <c r="R14" s="85"/>
      <c r="S14" s="85"/>
      <c r="T14" s="85"/>
      <c r="U14" s="85"/>
      <c r="V14" s="85"/>
      <c r="W14" s="85"/>
      <c r="X14" s="85"/>
      <c r="Y14" s="85"/>
      <c r="Z14" s="86"/>
    </row>
    <row r="15" customFormat="false" ht="21.75" hidden="false" customHeight="true" outlineLevel="0" collapsed="false">
      <c r="A15" s="85"/>
      <c r="B15" s="102"/>
      <c r="C15" s="102"/>
      <c r="D15" s="102"/>
      <c r="E15" s="102"/>
      <c r="F15" s="102"/>
      <c r="G15" s="102"/>
      <c r="H15" s="102"/>
      <c r="I15" s="102"/>
      <c r="J15" s="103"/>
      <c r="K15" s="102"/>
      <c r="L15" s="102"/>
      <c r="M15" s="102"/>
      <c r="N15" s="103"/>
      <c r="O15" s="103"/>
      <c r="P15" s="103"/>
      <c r="Q15" s="85"/>
      <c r="R15" s="85"/>
      <c r="S15" s="85"/>
      <c r="T15" s="85"/>
      <c r="U15" s="85"/>
      <c r="V15" s="85"/>
      <c r="W15" s="85"/>
      <c r="X15" s="85"/>
      <c r="Y15" s="85"/>
      <c r="Z15" s="86"/>
    </row>
    <row r="16" customFormat="false" ht="25.5" hidden="false" customHeight="true" outlineLevel="0" collapsed="false">
      <c r="A16" s="95"/>
      <c r="B16" s="96" t="s">
        <v>181</v>
      </c>
      <c r="C16" s="96"/>
      <c r="D16" s="96"/>
      <c r="E16" s="96"/>
      <c r="F16" s="96"/>
      <c r="G16" s="96"/>
      <c r="H16" s="96"/>
      <c r="I16" s="96"/>
      <c r="J16" s="104"/>
      <c r="K16" s="96" t="s">
        <v>182</v>
      </c>
      <c r="L16" s="96"/>
      <c r="M16" s="96"/>
      <c r="N16" s="97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6"/>
    </row>
    <row r="17" customFormat="false" ht="19.5" hidden="false" customHeight="true" outlineLevel="0" collapsed="false">
      <c r="A17" s="95"/>
      <c r="B17" s="105" t="s">
        <v>183</v>
      </c>
      <c r="C17" s="106" t="s">
        <v>184</v>
      </c>
      <c r="D17" s="106"/>
      <c r="E17" s="106"/>
      <c r="F17" s="106"/>
      <c r="G17" s="106"/>
      <c r="H17" s="106"/>
      <c r="I17" s="106"/>
      <c r="J17" s="104"/>
      <c r="K17" s="107" t="s">
        <v>183</v>
      </c>
      <c r="L17" s="107"/>
      <c r="M17" s="99" t="s">
        <v>185</v>
      </c>
      <c r="N17" s="97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6"/>
    </row>
    <row r="18" customFormat="false" ht="19.5" hidden="false" customHeight="true" outlineLevel="0" collapsed="false">
      <c r="A18" s="95"/>
      <c r="B18" s="107" t="s">
        <v>147</v>
      </c>
      <c r="C18" s="99" t="s">
        <v>186</v>
      </c>
      <c r="D18" s="99"/>
      <c r="E18" s="99"/>
      <c r="F18" s="99"/>
      <c r="G18" s="99"/>
      <c r="H18" s="99"/>
      <c r="I18" s="99"/>
      <c r="J18" s="104"/>
      <c r="K18" s="107" t="s">
        <v>170</v>
      </c>
      <c r="L18" s="107"/>
      <c r="M18" s="95" t="n">
        <f aca="false">COUNTIF(B4:Y8,"Pref")/2</f>
        <v>8</v>
      </c>
      <c r="N18" s="97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6"/>
    </row>
    <row r="19" customFormat="false" ht="19.5" hidden="false" customHeight="true" outlineLevel="0" collapsed="false">
      <c r="A19" s="95"/>
      <c r="B19" s="107" t="s">
        <v>167</v>
      </c>
      <c r="C19" s="99" t="s">
        <v>187</v>
      </c>
      <c r="D19" s="99"/>
      <c r="E19" s="99"/>
      <c r="F19" s="99"/>
      <c r="G19" s="99"/>
      <c r="H19" s="99"/>
      <c r="I19" s="99"/>
      <c r="J19" s="104"/>
      <c r="K19" s="107" t="s">
        <v>188</v>
      </c>
      <c r="L19" s="107"/>
      <c r="M19" s="95" t="n">
        <f aca="false">COUNTIF(B4:Y8,"Yes")/2</f>
        <v>2</v>
      </c>
      <c r="N19" s="97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6"/>
    </row>
    <row r="20" customFormat="false" ht="21.75" hidden="false" customHeight="true" outlineLevel="0" collapsed="false">
      <c r="A20" s="95"/>
      <c r="B20" s="108" t="s">
        <v>173</v>
      </c>
      <c r="C20" s="101" t="s">
        <v>189</v>
      </c>
      <c r="D20" s="101"/>
      <c r="E20" s="101"/>
      <c r="F20" s="101"/>
      <c r="G20" s="101"/>
      <c r="H20" s="101"/>
      <c r="I20" s="101"/>
      <c r="J20" s="104"/>
      <c r="K20" s="108" t="s">
        <v>190</v>
      </c>
      <c r="L20" s="108"/>
      <c r="M20" s="109" t="n">
        <f aca="false">SUM(M7:M19)</f>
        <v>10</v>
      </c>
      <c r="N20" s="97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6"/>
    </row>
    <row r="21" customFormat="false" ht="15.75" hidden="false" customHeight="true" outlineLevel="0" collapsed="false">
      <c r="A21" s="85"/>
      <c r="B21" s="103"/>
      <c r="C21" s="103"/>
      <c r="D21" s="103"/>
      <c r="E21" s="103"/>
      <c r="F21" s="103"/>
      <c r="G21" s="103"/>
      <c r="H21" s="103"/>
      <c r="I21" s="103"/>
      <c r="J21" s="85"/>
      <c r="K21" s="103"/>
      <c r="L21" s="103"/>
      <c r="M21" s="103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6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1</v>
      </c>
      <c r="U22" s="31" t="n">
        <f aca="false">COUNTIF(U4,$A$22)</f>
        <v>1</v>
      </c>
      <c r="V22" s="31" t="n">
        <f aca="false">COUNTIF(V4,$A$22)</f>
        <v>1</v>
      </c>
      <c r="W22" s="31" t="n">
        <f aca="false">COUNTIF(W4,$A$22)</f>
        <v>1</v>
      </c>
      <c r="X22" s="31" t="n">
        <f aca="false">COUNTIF(X4,$A$22)</f>
        <v>1</v>
      </c>
      <c r="Y22" s="31" t="n">
        <f aca="false">COUNTIF(Y4,$A$22)</f>
        <v>1</v>
      </c>
      <c r="Z22" s="86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86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1</v>
      </c>
      <c r="U24" s="31" t="n">
        <f aca="false">COUNTIF(U6,$A$22)</f>
        <v>1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86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86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1</v>
      </c>
      <c r="M26" s="31" t="n">
        <f aca="false">COUNTIF(M8,$A$22)</f>
        <v>1</v>
      </c>
      <c r="N26" s="31" t="n">
        <f aca="false">COUNTIF(N8,$A$22)</f>
        <v>1</v>
      </c>
      <c r="O26" s="31" t="n">
        <f aca="false">COUNTIF(O8,$A$22)</f>
        <v>1</v>
      </c>
      <c r="P26" s="31" t="n">
        <f aca="false">COUNTIF(P8,$A$22)</f>
        <v>1</v>
      </c>
      <c r="Q26" s="31" t="n">
        <f aca="false">COUNTIF(Q8,$A$22)</f>
        <v>1</v>
      </c>
      <c r="R26" s="31" t="n">
        <f aca="false">COUNTIF(R8,$A$22)</f>
        <v>1</v>
      </c>
      <c r="S26" s="31" t="n">
        <f aca="false">COUNTIF(S8,$A$22)</f>
        <v>1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86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86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86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86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0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86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86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86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1</v>
      </c>
      <c r="U33" s="31" t="n">
        <f aca="false">COUNTIF(U8,$A$29)</f>
        <v>1</v>
      </c>
      <c r="V33" s="31" t="n">
        <f aca="false">COUNTIF(V8,$A$29)</f>
        <v>1</v>
      </c>
      <c r="W33" s="31" t="n">
        <f aca="false">COUNTIF(W8,$A$29)</f>
        <v>1</v>
      </c>
      <c r="X33" s="31" t="n">
        <f aca="false">COUNTIF(X8,$A$29)</f>
        <v>0</v>
      </c>
      <c r="Y33" s="31" t="n">
        <f aca="false">COUNTIF(Y8,$A$29)</f>
        <v>0</v>
      </c>
      <c r="Z33" s="86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86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86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86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86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86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86"/>
    </row>
    <row r="40" customFormat="false" ht="21" hidden="false" customHeight="true" outlineLevel="0" collapsed="false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customFormat="false" ht="21" hidden="false" customHeight="true" outlineLevel="0" collapsed="false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customFormat="false" ht="21" hidden="false" customHeight="true" outlineLevel="0" collapsed="false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customFormat="false" ht="21" hidden="false" customHeight="true" outlineLevel="0" collapsed="false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customFormat="false" ht="21" hidden="false" customHeight="true" outlineLevel="0" collapsed="false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customFormat="false" ht="21" hidden="false" customHeight="true" outlineLevel="0" collapsed="false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customFormat="false" ht="21" hidden="false" customHeight="true" outlineLevel="0" collapsed="false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customFormat="false" ht="21" hidden="false" customHeight="true" outlineLevel="0" collapsed="false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customFormat="false" ht="21" hidden="false" customHeight="true" outlineLevel="0" collapsed="false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customFormat="false" ht="21" hidden="false" customHeight="true" outlineLevel="0" collapsed="false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customFormat="false" ht="21" hidden="false" customHeight="true" outlineLevel="0" collapsed="false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customFormat="false" ht="21" hidden="false" customHeight="true" outlineLevel="0" collapsed="false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customFormat="false" ht="21" hidden="false" customHeight="true" outlineLevel="0" collapsed="false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customFormat="false" ht="21" hidden="false" customHeight="true" outlineLevel="0" collapsed="false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customFormat="false" ht="21" hidden="false" customHeight="true" outlineLevel="0" collapsed="false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customFormat="false" ht="21" hidden="false" customHeight="true" outlineLevel="0" collapsed="false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customFormat="false" ht="21" hidden="false" customHeight="true" outlineLevel="0" collapsed="false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customFormat="false" ht="21" hidden="false" customHeight="true" outlineLevel="0" collapsed="false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customFormat="false" ht="21" hidden="false" customHeight="true" outlineLevel="0" collapsed="false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customFormat="false" ht="21" hidden="false" customHeight="true" outlineLevel="0" collapsed="false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customFormat="false" ht="21" hidden="false" customHeight="true" outlineLevel="0" collapsed="false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customFormat="false" ht="21" hidden="false" customHeight="true" outlineLevel="0" collapsed="false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customFormat="false" ht="21" hidden="false" customHeight="true" outlineLevel="0" collapsed="false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customFormat="false" ht="21" hidden="false" customHeight="true" outlineLevel="0" collapsed="false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customFormat="false" ht="21" hidden="false" customHeight="true" outlineLevel="0" collapsed="false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customFormat="false" ht="21" hidden="false" customHeight="true" outlineLevel="0" collapsed="false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customFormat="false" ht="21" hidden="false" customHeight="true" outlineLevel="0" collapsed="false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customFormat="false" ht="21" hidden="false" customHeight="true" outlineLevel="0" collapsed="false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customFormat="false" ht="21" hidden="false" customHeight="true" outlineLevel="0" collapsed="false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customFormat="false" ht="21" hidden="false" customHeight="true" outlineLevel="0" collapsed="false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customFormat="false" ht="21" hidden="false" customHeight="true" outlineLevel="0" collapsed="false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customFormat="false" ht="21" hidden="false" customHeight="true" outlineLevel="0" collapsed="false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customFormat="false" ht="21" hidden="false" customHeight="true" outlineLevel="0" collapsed="false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customFormat="false" ht="21" hidden="false" customHeight="true" outlineLevel="0" collapsed="false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customFormat="false" ht="21" hidden="false" customHeight="true" outlineLevel="0" collapsed="false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customFormat="false" ht="21" hidden="false" customHeight="true" outlineLevel="0" collapsed="false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customFormat="false" ht="21" hidden="false" customHeight="true" outlineLevel="0" collapsed="false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customFormat="false" ht="21" hidden="false" customHeight="true" outlineLevel="0" collapsed="false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customFormat="false" ht="21" hidden="false" customHeight="true" outlineLevel="0" collapsed="false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customFormat="false" ht="21" hidden="false" customHeight="true" outlineLevel="0" collapsed="false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customFormat="false" ht="21" hidden="false" customHeight="true" outlineLevel="0" collapsed="false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customFormat="false" ht="21" hidden="false" customHeight="true" outlineLevel="0" collapsed="false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customFormat="false" ht="21" hidden="false" customHeight="true" outlineLevel="0" collapsed="false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customFormat="false" ht="21" hidden="false" customHeight="true" outlineLevel="0" collapsed="false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customFormat="false" ht="21" hidden="false" customHeight="true" outlineLevel="0" collapsed="false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customFormat="false" ht="21" hidden="false" customHeight="true" outlineLevel="0" collapsed="false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customFormat="false" ht="21" hidden="false" customHeight="true" outlineLevel="0" collapsed="false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customFormat="false" ht="21" hidden="false" customHeight="true" outlineLevel="0" collapsed="false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customFormat="false" ht="21" hidden="false" customHeight="true" outlineLevel="0" collapsed="false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customFormat="false" ht="21" hidden="false" customHeight="true" outlineLevel="0" collapsed="false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customFormat="false" ht="21" hidden="false" customHeight="true" outlineLevel="0" collapsed="false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customFormat="false" ht="21" hidden="false" customHeight="true" outlineLevel="0" collapsed="false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customFormat="false" ht="21" hidden="false" customHeight="true" outlineLevel="0" collapsed="false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customFormat="false" ht="21" hidden="false" customHeight="true" outlineLevel="0" collapsed="false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customFormat="false" ht="21" hidden="false" customHeight="true" outlineLevel="0" collapsed="false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customFormat="false" ht="21" hidden="false" customHeight="true" outlineLevel="0" collapsed="false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customFormat="false" ht="21" hidden="false" customHeight="true" outlineLevel="0" collapsed="false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customFormat="false" ht="21" hidden="false" customHeight="true" outlineLevel="0" collapsed="false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customFormat="false" ht="21" hidden="false" customHeight="true" outlineLevel="0" collapsed="false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customFormat="false" ht="21" hidden="false" customHeight="true" outlineLevel="0" collapsed="false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customFormat="false" ht="21" hidden="false" customHeight="true" outlineLevel="0" collapsed="false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customFormat="false" ht="21" hidden="false" customHeight="true" outlineLevel="0" collapsed="false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customFormat="false" ht="21" hidden="false" customHeight="true" outlineLevel="0" collapsed="false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customFormat="false" ht="21" hidden="false" customHeight="true" outlineLevel="0" collapsed="false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customFormat="false" ht="21" hidden="false" customHeight="true" outlineLevel="0" collapsed="false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customFormat="false" ht="21" hidden="false" customHeight="true" outlineLevel="0" collapsed="false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customFormat="false" ht="21" hidden="false" customHeight="true" outlineLevel="0" collapsed="false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customFormat="false" ht="21" hidden="false" customHeight="true" outlineLevel="0" collapsed="false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customFormat="false" ht="21" hidden="false" customHeight="true" outlineLevel="0" collapsed="false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customFormat="false" ht="21" hidden="false" customHeight="true" outlineLevel="0" collapsed="false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customFormat="false" ht="21" hidden="false" customHeight="true" outlineLevel="0" collapsed="false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customFormat="false" ht="21" hidden="false" customHeight="true" outlineLevel="0" collapsed="false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customFormat="false" ht="21" hidden="false" customHeight="true" outlineLevel="0" collapsed="false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customFormat="false" ht="21" hidden="false" customHeight="true" outlineLevel="0" collapsed="false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customFormat="false" ht="21" hidden="false" customHeight="true" outlineLevel="0" collapsed="false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customFormat="false" ht="21" hidden="false" customHeight="true" outlineLevel="0" collapsed="false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customFormat="false" ht="21" hidden="false" customHeight="true" outlineLevel="0" collapsed="false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customFormat="false" ht="21" hidden="false" customHeight="true" outlineLevel="0" collapsed="false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customFormat="false" ht="21" hidden="false" customHeight="true" outlineLevel="0" collapsed="false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customFormat="false" ht="21" hidden="false" customHeight="true" outlineLevel="0" collapsed="false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customFormat="false" ht="21" hidden="false" customHeight="true" outlineLevel="0" collapsed="false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customFormat="false" ht="21" hidden="false" customHeight="true" outlineLevel="0" collapsed="false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customFormat="false" ht="21" hidden="false" customHeight="true" outlineLevel="0" collapsed="false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customFormat="false" ht="21" hidden="false" customHeight="true" outlineLevel="0" collapsed="false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customFormat="false" ht="21" hidden="false" customHeight="true" outlineLevel="0" collapsed="false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customFormat="false" ht="21" hidden="false" customHeight="true" outlineLevel="0" collapsed="false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customFormat="false" ht="21" hidden="false" customHeight="true" outlineLevel="0" collapsed="false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customFormat="false" ht="21" hidden="false" customHeight="true" outlineLevel="0" collapsed="false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customFormat="false" ht="21" hidden="false" customHeight="true" outlineLevel="0" collapsed="false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customFormat="false" ht="21" hidden="false" customHeight="true" outlineLevel="0" collapsed="false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customFormat="false" ht="21" hidden="false" customHeight="true" outlineLevel="0" collapsed="false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customFormat="false" ht="21" hidden="false" customHeight="true" outlineLevel="0" collapsed="false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customFormat="false" ht="21" hidden="false" customHeight="true" outlineLevel="0" collapsed="false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customFormat="false" ht="21" hidden="false" customHeight="true" outlineLevel="0" collapsed="false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customFormat="false" ht="21" hidden="false" customHeight="true" outlineLevel="0" collapsed="false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customFormat="false" ht="21" hidden="false" customHeight="true" outlineLevel="0" collapsed="false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customFormat="false" ht="21" hidden="false" customHeight="true" outlineLevel="0" collapsed="false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customFormat="false" ht="21" hidden="false" customHeight="true" outlineLevel="0" collapsed="false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customFormat="false" ht="21" hidden="false" customHeight="true" outlineLevel="0" collapsed="false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customFormat="false" ht="21" hidden="false" customHeight="true" outlineLevel="0" collapsed="false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customFormat="false" ht="21" hidden="false" customHeight="true" outlineLevel="0" collapsed="false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customFormat="false" ht="21" hidden="false" customHeight="true" outlineLevel="0" collapsed="false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customFormat="false" ht="21" hidden="false" customHeight="true" outlineLevel="0" collapsed="false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customFormat="false" ht="21" hidden="false" customHeight="true" outlineLevel="0" collapsed="false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customFormat="false" ht="21" hidden="false" customHeight="true" outlineLevel="0" collapsed="false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customFormat="false" ht="21" hidden="false" customHeight="true" outlineLevel="0" collapsed="false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customFormat="false" ht="21" hidden="false" customHeight="true" outlineLevel="0" collapsed="false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customFormat="false" ht="21" hidden="false" customHeight="true" outlineLevel="0" collapsed="false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customFormat="false" ht="21" hidden="false" customHeight="true" outlineLevel="0" collapsed="false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customFormat="false" ht="21" hidden="false" customHeight="true" outlineLevel="0" collapsed="false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customFormat="false" ht="21" hidden="false" customHeight="true" outlineLevel="0" collapsed="false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customFormat="false" ht="21" hidden="false" customHeight="true" outlineLevel="0" collapsed="false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customFormat="false" ht="21" hidden="false" customHeight="true" outlineLevel="0" collapsed="false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customFormat="false" ht="21" hidden="false" customHeight="true" outlineLevel="0" collapsed="false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customFormat="false" ht="21" hidden="false" customHeight="true" outlineLevel="0" collapsed="false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customFormat="false" ht="21" hidden="false" customHeight="true" outlineLevel="0" collapsed="false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customFormat="false" ht="21" hidden="false" customHeight="true" outlineLevel="0" collapsed="false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customFormat="false" ht="21" hidden="false" customHeight="true" outlineLevel="0" collapsed="false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customFormat="false" ht="21" hidden="false" customHeight="true" outlineLevel="0" collapsed="false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customFormat="false" ht="21" hidden="false" customHeight="true" outlineLevel="0" collapsed="false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customFormat="false" ht="21" hidden="false" customHeight="true" outlineLevel="0" collapsed="false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customFormat="false" ht="21" hidden="false" customHeight="true" outlineLevel="0" collapsed="false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customFormat="false" ht="21" hidden="false" customHeight="true" outlineLevel="0" collapsed="false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customFormat="false" ht="21" hidden="false" customHeight="true" outlineLevel="0" collapsed="false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customFormat="false" ht="21" hidden="false" customHeight="true" outlineLevel="0" collapsed="false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customFormat="false" ht="21" hidden="false" customHeight="true" outlineLevel="0" collapsed="false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customFormat="false" ht="21" hidden="false" customHeight="true" outlineLevel="0" collapsed="false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customFormat="false" ht="21" hidden="false" customHeight="true" outlineLevel="0" collapsed="false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customFormat="false" ht="21" hidden="false" customHeight="true" outlineLevel="0" collapsed="false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customFormat="false" ht="21" hidden="false" customHeight="true" outlineLevel="0" collapsed="false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customFormat="false" ht="21" hidden="false" customHeight="true" outlineLevel="0" collapsed="false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customFormat="false" ht="21" hidden="false" customHeight="true" outlineLevel="0" collapsed="false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customFormat="false" ht="21" hidden="false" customHeight="true" outlineLevel="0" collapsed="false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customFormat="false" ht="21" hidden="false" customHeight="true" outlineLevel="0" collapsed="false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customFormat="false" ht="21" hidden="false" customHeight="true" outlineLevel="0" collapsed="false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customFormat="false" ht="21" hidden="false" customHeight="true" outlineLevel="0" collapsed="false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customFormat="false" ht="21" hidden="false" customHeight="true" outlineLevel="0" collapsed="false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customFormat="false" ht="21" hidden="false" customHeight="true" outlineLevel="0" collapsed="false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customFormat="false" ht="21" hidden="false" customHeight="true" outlineLevel="0" collapsed="false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customFormat="false" ht="21" hidden="false" customHeight="true" outlineLevel="0" collapsed="false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customFormat="false" ht="21" hidden="false" customHeight="true" outlineLevel="0" collapsed="false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customFormat="false" ht="21" hidden="false" customHeight="true" outlineLevel="0" collapsed="false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customFormat="false" ht="21" hidden="false" customHeight="true" outlineLevel="0" collapsed="false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customFormat="false" ht="21" hidden="false" customHeight="true" outlineLevel="0" collapsed="false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customFormat="false" ht="21" hidden="false" customHeight="true" outlineLevel="0" collapsed="false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customFormat="false" ht="21" hidden="false" customHeight="true" outlineLevel="0" collapsed="false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customFormat="false" ht="21" hidden="false" customHeight="true" outlineLevel="0" collapsed="false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customFormat="false" ht="21" hidden="false" customHeight="true" outlineLevel="0" collapsed="false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customFormat="false" ht="21" hidden="false" customHeight="true" outlineLevel="0" collapsed="false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customFormat="false" ht="21" hidden="false" customHeight="true" outlineLevel="0" collapsed="false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customFormat="false" ht="21" hidden="false" customHeight="true" outlineLevel="0" collapsed="false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customFormat="false" ht="21" hidden="false" customHeight="true" outlineLevel="0" collapsed="false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customFormat="false" ht="21" hidden="false" customHeight="true" outlineLevel="0" collapsed="false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customFormat="false" ht="21" hidden="false" customHeight="true" outlineLevel="0" collapsed="false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customFormat="false" ht="21" hidden="false" customHeight="true" outlineLevel="0" collapsed="false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customFormat="false" ht="21" hidden="false" customHeight="true" outlineLevel="0" collapsed="false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customFormat="false" ht="21" hidden="false" customHeight="true" outlineLevel="0" collapsed="false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customFormat="false" ht="21" hidden="false" customHeight="true" outlineLevel="0" collapsed="false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customFormat="false" ht="21" hidden="false" customHeight="true" outlineLevel="0" collapsed="false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customFormat="false" ht="21" hidden="false" customHeight="true" outlineLevel="0" collapsed="false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customFormat="false" ht="21" hidden="false" customHeight="true" outlineLevel="0" collapsed="false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customFormat="false" ht="21" hidden="false" customHeight="true" outlineLevel="0" collapsed="false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customFormat="false" ht="21" hidden="false" customHeight="true" outlineLevel="0" collapsed="false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customFormat="false" ht="21" hidden="false" customHeight="true" outlineLevel="0" collapsed="false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customFormat="false" ht="21" hidden="false" customHeight="true" outlineLevel="0" collapsed="false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customFormat="false" ht="21" hidden="false" customHeight="true" outlineLevel="0" collapsed="false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customFormat="false" ht="21" hidden="false" customHeight="true" outlineLevel="0" collapsed="false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customFormat="false" ht="21" hidden="false" customHeight="true" outlineLevel="0" collapsed="false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customFormat="false" ht="21" hidden="false" customHeight="true" outlineLevel="0" collapsed="false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customFormat="false" ht="21" hidden="false" customHeight="true" outlineLevel="0" collapsed="false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customFormat="false" ht="21" hidden="false" customHeight="true" outlineLevel="0" collapsed="false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customFormat="false" ht="21" hidden="false" customHeight="true" outlineLevel="0" collapsed="false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customFormat="false" ht="21" hidden="false" customHeight="true" outlineLevel="0" collapsed="false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customFormat="false" ht="21" hidden="false" customHeight="true" outlineLevel="0" collapsed="false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customFormat="false" ht="21" hidden="false" customHeight="true" outlineLevel="0" collapsed="false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customFormat="false" ht="21" hidden="false" customHeight="true" outlineLevel="0" collapsed="false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customFormat="false" ht="21" hidden="false" customHeight="true" outlineLevel="0" collapsed="false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customFormat="false" ht="21" hidden="false" customHeight="true" outlineLevel="0" collapsed="false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customFormat="false" ht="21" hidden="false" customHeight="true" outlineLevel="0" collapsed="false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customFormat="false" ht="21" hidden="false" customHeight="true" outlineLevel="0" collapsed="false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customFormat="false" ht="21" hidden="false" customHeight="true" outlineLevel="0" collapsed="false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customFormat="false" ht="21" hidden="false" customHeight="true" outlineLevel="0" collapsed="false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customFormat="false" ht="21" hidden="false" customHeight="true" outlineLevel="0" collapsed="false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customFormat="false" ht="21" hidden="false" customHeight="true" outlineLevel="0" collapsed="false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customFormat="false" ht="21" hidden="false" customHeight="true" outlineLevel="0" collapsed="false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customFormat="false" ht="21" hidden="false" customHeight="true" outlineLevel="0" collapsed="false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customFormat="false" ht="21" hidden="false" customHeight="true" outlineLevel="0" collapsed="false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customFormat="false" ht="21" hidden="false" customHeight="true" outlineLevel="0" collapsed="false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customFormat="false" ht="21" hidden="false" customHeight="true" outlineLevel="0" collapsed="false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customFormat="false" ht="21" hidden="false" customHeight="true" outlineLevel="0" collapsed="false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customFormat="false" ht="21" hidden="false" customHeight="true" outlineLevel="0" collapsed="false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customFormat="false" ht="21" hidden="false" customHeight="true" outlineLevel="0" collapsed="false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customFormat="false" ht="21" hidden="false" customHeight="true" outlineLevel="0" collapsed="false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customFormat="false" ht="21" hidden="false" customHeight="true" outlineLevel="0" collapsed="false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customFormat="false" ht="21" hidden="false" customHeight="true" outlineLevel="0" collapsed="false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customFormat="false" ht="21" hidden="false" customHeight="true" outlineLevel="0" collapsed="false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customFormat="false" ht="21" hidden="false" customHeight="true" outlineLevel="0" collapsed="false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customFormat="false" ht="21" hidden="false" customHeight="true" outlineLevel="0" collapsed="false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customFormat="false" ht="21" hidden="false" customHeight="true" outlineLevel="0" collapsed="false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customFormat="false" ht="21" hidden="false" customHeight="true" outlineLevel="0" collapsed="false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25" min="1" style="0" width="10.5"/>
  </cols>
  <sheetData>
    <row r="1" customFormat="false" ht="15.75" hidden="false" customHeight="true" outlineLevel="0" collapsed="false">
      <c r="A1" s="46" t="s">
        <v>209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</row>
    <row r="2" customFormat="false" ht="15.75" hidden="false" customHeight="true" outlineLevel="0" collapsed="false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</row>
    <row r="3" customFormat="false" ht="15.75" hidden="false" customHeight="true" outlineLevel="0" collapsed="false">
      <c r="A3" s="111"/>
      <c r="B3" s="112" t="n">
        <v>0.291666666666667</v>
      </c>
      <c r="C3" s="112" t="n">
        <v>0.3125</v>
      </c>
      <c r="D3" s="112" t="n">
        <v>0.333333333333333</v>
      </c>
      <c r="E3" s="112" t="n">
        <v>0.354166666666667</v>
      </c>
      <c r="F3" s="112" t="n">
        <v>0.375</v>
      </c>
      <c r="G3" s="112" t="n">
        <v>0.395833333333333</v>
      </c>
      <c r="H3" s="112" t="n">
        <v>0.416666666666667</v>
      </c>
      <c r="I3" s="112" t="n">
        <v>0.4375</v>
      </c>
      <c r="J3" s="112" t="n">
        <v>0.458333333333333</v>
      </c>
      <c r="K3" s="112" t="n">
        <v>0.479166666666667</v>
      </c>
      <c r="L3" s="112" t="n">
        <v>0.5</v>
      </c>
      <c r="M3" s="112" t="n">
        <v>0.520833333333333</v>
      </c>
      <c r="N3" s="112" t="n">
        <v>0.0416666666666667</v>
      </c>
      <c r="O3" s="112" t="n">
        <v>0.0625</v>
      </c>
      <c r="P3" s="112" t="n">
        <v>0.0833333333333333</v>
      </c>
      <c r="Q3" s="112" t="n">
        <v>0.104166666666667</v>
      </c>
      <c r="R3" s="112" t="n">
        <v>0.125</v>
      </c>
      <c r="S3" s="112" t="n">
        <v>0.145833333333333</v>
      </c>
      <c r="T3" s="112" t="n">
        <v>0.166666666666667</v>
      </c>
      <c r="U3" s="112" t="n">
        <v>0.1875</v>
      </c>
      <c r="V3" s="112" t="n">
        <v>0.208333333333333</v>
      </c>
      <c r="W3" s="112" t="n">
        <v>0.229166666666667</v>
      </c>
      <c r="X3" s="112" t="n">
        <v>0.25</v>
      </c>
      <c r="Y3" s="112" t="n">
        <v>0.270833333333333</v>
      </c>
    </row>
    <row r="4" customFormat="false" ht="15.75" hidden="false" customHeight="true" outlineLevel="0" collapsed="false">
      <c r="A4" s="111"/>
      <c r="B4" s="46" t="s">
        <v>218</v>
      </c>
      <c r="C4" s="46" t="s">
        <v>218</v>
      </c>
      <c r="D4" s="46" t="s">
        <v>218</v>
      </c>
      <c r="E4" s="46" t="s">
        <v>218</v>
      </c>
      <c r="F4" s="46" t="s">
        <v>218</v>
      </c>
      <c r="G4" s="46" t="s">
        <v>218</v>
      </c>
      <c r="H4" s="46" t="s">
        <v>218</v>
      </c>
      <c r="I4" s="46" t="s">
        <v>218</v>
      </c>
      <c r="J4" s="46" t="s">
        <v>218</v>
      </c>
      <c r="K4" s="46" t="s">
        <v>218</v>
      </c>
      <c r="L4" s="46" t="s">
        <v>218</v>
      </c>
      <c r="M4" s="46" t="s">
        <v>218</v>
      </c>
      <c r="N4" s="46" t="s">
        <v>218</v>
      </c>
      <c r="O4" s="46" t="s">
        <v>218</v>
      </c>
      <c r="P4" s="46" t="s">
        <v>218</v>
      </c>
      <c r="Q4" s="46" t="s">
        <v>218</v>
      </c>
      <c r="R4" s="46" t="s">
        <v>218</v>
      </c>
      <c r="S4" s="46" t="s">
        <v>218</v>
      </c>
      <c r="T4" s="46" t="s">
        <v>218</v>
      </c>
      <c r="U4" s="46" t="s">
        <v>218</v>
      </c>
      <c r="V4" s="46" t="s">
        <v>218</v>
      </c>
      <c r="W4" s="46" t="s">
        <v>218</v>
      </c>
      <c r="X4" s="46" t="s">
        <v>218</v>
      </c>
      <c r="Y4" s="46" t="s">
        <v>218</v>
      </c>
    </row>
    <row r="5" customFormat="false" ht="15.75" hidden="false" customHeight="true" outlineLevel="0" collapsed="false">
      <c r="A5" s="111"/>
      <c r="B5" s="112" t="n">
        <v>0.3125</v>
      </c>
      <c r="C5" s="112" t="n">
        <v>0.333333333333333</v>
      </c>
      <c r="D5" s="112" t="n">
        <v>0.354166666666667</v>
      </c>
      <c r="E5" s="112" t="n">
        <v>0.375</v>
      </c>
      <c r="F5" s="112" t="n">
        <v>0.395833333333333</v>
      </c>
      <c r="G5" s="112" t="n">
        <v>0.416666666666667</v>
      </c>
      <c r="H5" s="112" t="n">
        <v>0.4375</v>
      </c>
      <c r="I5" s="112" t="n">
        <v>0.458333333333333</v>
      </c>
      <c r="J5" s="112" t="n">
        <v>0.479166666666667</v>
      </c>
      <c r="K5" s="112" t="n">
        <v>0.5</v>
      </c>
      <c r="L5" s="112" t="n">
        <v>0.520833333333333</v>
      </c>
      <c r="M5" s="112" t="n">
        <v>0.0416666666666667</v>
      </c>
      <c r="N5" s="112" t="n">
        <v>0.0625</v>
      </c>
      <c r="O5" s="112" t="n">
        <v>0.0833333333333333</v>
      </c>
      <c r="P5" s="112" t="n">
        <v>0.104166666666667</v>
      </c>
      <c r="Q5" s="112" t="n">
        <v>0.125</v>
      </c>
      <c r="R5" s="112" t="n">
        <v>0.145833333333333</v>
      </c>
      <c r="S5" s="112" t="n">
        <v>0.166666666666667</v>
      </c>
      <c r="T5" s="112" t="n">
        <v>0.1875</v>
      </c>
      <c r="U5" s="112" t="n">
        <v>0.208333333333333</v>
      </c>
      <c r="V5" s="112" t="n">
        <v>0.229166666666667</v>
      </c>
      <c r="W5" s="112" t="n">
        <v>0.25</v>
      </c>
      <c r="X5" s="112" t="n">
        <v>0.270833333333333</v>
      </c>
      <c r="Y5" s="112" t="n">
        <v>0.291666666666667</v>
      </c>
    </row>
    <row r="6" customFormat="false" ht="15.75" hidden="false" customHeight="true" outlineLevel="0" collapsed="false">
      <c r="A6" s="46" t="s">
        <v>24</v>
      </c>
      <c r="B6" s="110"/>
      <c r="C6" s="110"/>
      <c r="D6" s="46" t="s">
        <v>167</v>
      </c>
      <c r="E6" s="46" t="s">
        <v>167</v>
      </c>
      <c r="F6" s="110"/>
      <c r="G6" s="110"/>
      <c r="H6" s="110"/>
      <c r="I6" s="110"/>
      <c r="J6" s="110"/>
      <c r="K6" s="46" t="s">
        <v>167</v>
      </c>
      <c r="L6" s="46" t="s">
        <v>167</v>
      </c>
      <c r="M6" s="46" t="s">
        <v>167</v>
      </c>
      <c r="N6" s="46" t="s">
        <v>167</v>
      </c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</row>
    <row r="7" customFormat="false" ht="15.75" hidden="false" customHeight="true" outlineLevel="0" collapsed="false">
      <c r="A7" s="46" t="s">
        <v>66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</row>
    <row r="8" customFormat="false" ht="15.75" hidden="false" customHeight="true" outlineLevel="0" collapsed="false">
      <c r="A8" s="46" t="s">
        <v>73</v>
      </c>
      <c r="B8" s="110"/>
      <c r="C8" s="110"/>
      <c r="D8" s="46" t="s">
        <v>167</v>
      </c>
      <c r="E8" s="46" t="s">
        <v>167</v>
      </c>
      <c r="F8" s="46" t="s">
        <v>147</v>
      </c>
      <c r="G8" s="46" t="s">
        <v>147</v>
      </c>
      <c r="H8" s="110"/>
      <c r="I8" s="110"/>
      <c r="J8" s="110"/>
      <c r="K8" s="46" t="s">
        <v>147</v>
      </c>
      <c r="L8" s="46" t="s">
        <v>147</v>
      </c>
      <c r="M8" s="46" t="s">
        <v>147</v>
      </c>
      <c r="N8" s="46" t="s">
        <v>147</v>
      </c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</row>
    <row r="9" customFormat="false" ht="15.75" hidden="false" customHeight="true" outlineLevel="0" collapsed="false">
      <c r="A9" s="46" t="s">
        <v>75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</row>
    <row r="10" customFormat="false" ht="15.75" hidden="false" customHeight="true" outlineLevel="0" collapsed="false">
      <c r="A10" s="46" t="s">
        <v>76</v>
      </c>
      <c r="B10" s="110"/>
      <c r="C10" s="110"/>
      <c r="D10" s="110"/>
      <c r="E10" s="110"/>
      <c r="F10" s="110"/>
      <c r="G10" s="110"/>
      <c r="H10" s="110"/>
      <c r="I10" s="110"/>
      <c r="J10" s="46" t="s">
        <v>147</v>
      </c>
      <c r="K10" s="46" t="s">
        <v>147</v>
      </c>
      <c r="L10" s="46" t="s">
        <v>147</v>
      </c>
      <c r="M10" s="46" t="s">
        <v>147</v>
      </c>
      <c r="N10" s="46" t="s">
        <v>147</v>
      </c>
      <c r="O10" s="46" t="s">
        <v>147</v>
      </c>
      <c r="P10" s="46" t="s">
        <v>147</v>
      </c>
      <c r="Q10" s="46" t="s">
        <v>147</v>
      </c>
      <c r="R10" s="46" t="s">
        <v>147</v>
      </c>
      <c r="S10" s="46" t="s">
        <v>147</v>
      </c>
      <c r="T10" s="110"/>
      <c r="U10" s="110"/>
      <c r="V10" s="110"/>
      <c r="W10" s="110"/>
      <c r="X10" s="110"/>
      <c r="Y10" s="110"/>
    </row>
    <row r="11" customFormat="false" ht="15.75" hidden="false" customHeight="true" outlineLevel="0" collapsed="false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</row>
    <row r="12" customFormat="false" ht="15.75" hidden="false" customHeight="true" outlineLevel="0" collapsed="false">
      <c r="A12" s="110"/>
      <c r="B12" s="113" t="s">
        <v>176</v>
      </c>
      <c r="C12" s="110"/>
      <c r="D12" s="110"/>
      <c r="E12" s="110"/>
      <c r="F12" s="110"/>
      <c r="G12" s="110"/>
      <c r="H12" s="110"/>
      <c r="I12" s="110"/>
      <c r="J12" s="110"/>
      <c r="K12" s="110"/>
    </row>
    <row r="13" customFormat="false" ht="15.75" hidden="false" customHeight="true" outlineLevel="0" collapsed="false">
      <c r="A13" s="110"/>
      <c r="B13" s="46" t="s">
        <v>177</v>
      </c>
      <c r="C13" s="110"/>
      <c r="D13" s="110"/>
      <c r="E13" s="110"/>
      <c r="F13" s="110"/>
      <c r="G13" s="110"/>
      <c r="H13" s="110"/>
      <c r="I13" s="110"/>
      <c r="J13" s="110"/>
      <c r="K13" s="110"/>
    </row>
    <row r="14" customFormat="false" ht="15.75" hidden="false" customHeight="true" outlineLevel="0" collapsed="false">
      <c r="A14" s="110"/>
      <c r="B14" s="46" t="s">
        <v>178</v>
      </c>
      <c r="C14" s="110"/>
      <c r="D14" s="110"/>
      <c r="E14" s="110"/>
      <c r="F14" s="110"/>
      <c r="G14" s="110"/>
      <c r="H14" s="110"/>
      <c r="I14" s="110"/>
      <c r="J14" s="110"/>
      <c r="K14" s="110"/>
    </row>
    <row r="15" customFormat="false" ht="15.75" hidden="false" customHeight="true" outlineLevel="0" collapsed="false">
      <c r="A15" s="110"/>
      <c r="B15" s="110"/>
      <c r="C15" s="46" t="s">
        <v>219</v>
      </c>
      <c r="D15" s="110"/>
      <c r="E15" s="110"/>
      <c r="F15" s="110"/>
      <c r="G15" s="110"/>
      <c r="H15" s="110"/>
      <c r="I15" s="110"/>
      <c r="J15" s="110"/>
      <c r="K15" s="110"/>
      <c r="L15" s="110"/>
    </row>
    <row r="16" customFormat="false" ht="15.75" hidden="false" customHeight="true" outlineLevel="0" collapsed="false">
      <c r="A16" s="110"/>
      <c r="B16" s="110"/>
      <c r="C16" s="46" t="s">
        <v>180</v>
      </c>
      <c r="D16" s="110"/>
      <c r="E16" s="110"/>
      <c r="F16" s="110"/>
      <c r="G16" s="110"/>
      <c r="H16" s="110"/>
      <c r="I16" s="110"/>
      <c r="J16" s="110"/>
      <c r="K16" s="110"/>
      <c r="L16" s="110"/>
    </row>
    <row r="17" customFormat="false" ht="15.75" hidden="false" customHeight="true" outlineLevel="0" collapsed="false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</row>
    <row r="18" customFormat="false" ht="15.75" hidden="false" customHeight="true" outlineLevel="0" collapsed="false">
      <c r="A18" s="110"/>
      <c r="B18" s="113" t="s">
        <v>181</v>
      </c>
      <c r="C18" s="110"/>
      <c r="D18" s="113" t="s">
        <v>182</v>
      </c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</row>
    <row r="19" customFormat="false" ht="15.75" hidden="false" customHeight="true" outlineLevel="0" collapsed="false">
      <c r="A19" s="110"/>
      <c r="B19" s="114" t="s">
        <v>183</v>
      </c>
      <c r="C19" s="114" t="s">
        <v>184</v>
      </c>
      <c r="D19" s="110"/>
      <c r="E19" s="46" t="s">
        <v>183</v>
      </c>
      <c r="F19" s="46" t="s">
        <v>185</v>
      </c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</row>
    <row r="20" customFormat="false" ht="15.75" hidden="false" customHeight="true" outlineLevel="0" collapsed="false">
      <c r="A20" s="110"/>
      <c r="B20" s="46" t="s">
        <v>147</v>
      </c>
      <c r="C20" s="46" t="s">
        <v>186</v>
      </c>
      <c r="D20" s="110"/>
      <c r="E20" s="46" t="s">
        <v>170</v>
      </c>
      <c r="F20" s="46" t="n">
        <v>8</v>
      </c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</row>
    <row r="21" customFormat="false" ht="15.75" hidden="false" customHeight="true" outlineLevel="0" collapsed="false">
      <c r="A21" s="110"/>
      <c r="B21" s="46" t="s">
        <v>167</v>
      </c>
      <c r="C21" s="46" t="s">
        <v>187</v>
      </c>
      <c r="D21" s="110"/>
      <c r="E21" s="46" t="s">
        <v>188</v>
      </c>
      <c r="F21" s="46" t="n">
        <v>4</v>
      </c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</row>
    <row r="22" customFormat="false" ht="15.75" hidden="false" customHeight="true" outlineLevel="0" collapsed="false">
      <c r="A22" s="31" t="s">
        <v>147</v>
      </c>
      <c r="B22" s="31" t="n">
        <f aca="false">COUNTIF(B6,$A$22)</f>
        <v>0</v>
      </c>
      <c r="C22" s="31" t="n">
        <f aca="false">COUNTIF(C6,$A$22)</f>
        <v>0</v>
      </c>
      <c r="D22" s="31" t="n">
        <f aca="false">COUNTIF(D6,$A$22)</f>
        <v>0</v>
      </c>
      <c r="E22" s="31" t="n">
        <f aca="false">COUNTIF(E6,$A$22)</f>
        <v>0</v>
      </c>
      <c r="F22" s="31" t="n">
        <f aca="false">COUNTIF(F6,$A$22)</f>
        <v>0</v>
      </c>
      <c r="G22" s="31" t="n">
        <f aca="false">COUNTIF(G6,$A$22)</f>
        <v>0</v>
      </c>
      <c r="H22" s="31" t="n">
        <f aca="false">COUNTIF(H6,$A$22)</f>
        <v>0</v>
      </c>
      <c r="I22" s="31" t="n">
        <f aca="false">COUNTIF(I6,$A$22)</f>
        <v>0</v>
      </c>
      <c r="J22" s="31" t="n">
        <f aca="false">COUNTIF(J6,$A$22)</f>
        <v>0</v>
      </c>
      <c r="K22" s="31" t="n">
        <f aca="false">COUNTIF(K6,$A$22)</f>
        <v>0</v>
      </c>
      <c r="L22" s="31" t="n">
        <f aca="false">COUNTIF(L6,$A$22)</f>
        <v>0</v>
      </c>
      <c r="M22" s="31" t="n">
        <f aca="false">COUNTIF(M6,$A$22)</f>
        <v>0</v>
      </c>
      <c r="N22" s="31" t="n">
        <f aca="false">COUNTIF(N6,$A$22)</f>
        <v>0</v>
      </c>
      <c r="O22" s="31" t="n">
        <f aca="false">COUNTIF(O6,$A$22)</f>
        <v>0</v>
      </c>
      <c r="P22" s="31" t="n">
        <f aca="false">COUNTIF(P6,$A$22)</f>
        <v>0</v>
      </c>
      <c r="Q22" s="31" t="n">
        <f aca="false">COUNTIF(Q6,$A$22)</f>
        <v>0</v>
      </c>
      <c r="R22" s="31" t="n">
        <f aca="false">COUNTIF(R6,$A$22)</f>
        <v>0</v>
      </c>
      <c r="S22" s="31" t="n">
        <f aca="false">COUNTIF(S6,$A$22)</f>
        <v>0</v>
      </c>
      <c r="T22" s="31" t="n">
        <f aca="false">COUNTIF(T6,$A$22)</f>
        <v>0</v>
      </c>
      <c r="U22" s="31" t="n">
        <f aca="false">COUNTIF(U6,$A$22)</f>
        <v>0</v>
      </c>
      <c r="V22" s="31" t="n">
        <f aca="false">COUNTIF(V6,$A$22)</f>
        <v>0</v>
      </c>
      <c r="W22" s="31" t="n">
        <f aca="false">COUNTIF(W6,$A$22)</f>
        <v>0</v>
      </c>
      <c r="X22" s="31" t="n">
        <f aca="false">COUNTIF(X6,$A$22)</f>
        <v>0</v>
      </c>
      <c r="Y22" s="31" t="n">
        <f aca="false">COUNTIF(Y6,$A$22)</f>
        <v>0</v>
      </c>
    </row>
    <row r="23" customFormat="false" ht="15.75" hidden="false" customHeight="true" outlineLevel="0" collapsed="false">
      <c r="A23" s="31"/>
      <c r="B23" s="31" t="n">
        <f aca="false">COUNTIF(B7,$A$22)</f>
        <v>0</v>
      </c>
      <c r="C23" s="31" t="n">
        <f aca="false">COUNTIF(C7,$A$22)</f>
        <v>0</v>
      </c>
      <c r="D23" s="31" t="n">
        <f aca="false">COUNTIF(D7,$A$22)</f>
        <v>0</v>
      </c>
      <c r="E23" s="31" t="n">
        <f aca="false">COUNTIF(E7,$A$22)</f>
        <v>0</v>
      </c>
      <c r="F23" s="31" t="n">
        <f aca="false">COUNTIF(F7,$A$22)</f>
        <v>0</v>
      </c>
      <c r="G23" s="31" t="n">
        <f aca="false">COUNTIF(G7,$A$22)</f>
        <v>0</v>
      </c>
      <c r="H23" s="31" t="n">
        <f aca="false">COUNTIF(H7,$A$22)</f>
        <v>0</v>
      </c>
      <c r="I23" s="31" t="n">
        <f aca="false">COUNTIF(I7,$A$22)</f>
        <v>0</v>
      </c>
      <c r="J23" s="31" t="n">
        <f aca="false">COUNTIF(J7,$A$22)</f>
        <v>0</v>
      </c>
      <c r="K23" s="31" t="n">
        <f aca="false">COUNTIF(K7,$A$22)</f>
        <v>0</v>
      </c>
      <c r="L23" s="31" t="n">
        <f aca="false">COUNTIF(L7,$A$22)</f>
        <v>0</v>
      </c>
      <c r="M23" s="31" t="n">
        <f aca="false">COUNTIF(M7,$A$22)</f>
        <v>0</v>
      </c>
      <c r="N23" s="31" t="n">
        <f aca="false">COUNTIF(N7,$A$22)</f>
        <v>0</v>
      </c>
      <c r="O23" s="31" t="n">
        <f aca="false">COUNTIF(O7,$A$22)</f>
        <v>0</v>
      </c>
      <c r="P23" s="31" t="n">
        <f aca="false">COUNTIF(P7,$A$22)</f>
        <v>0</v>
      </c>
      <c r="Q23" s="31" t="n">
        <f aca="false">COUNTIF(Q7,$A$22)</f>
        <v>0</v>
      </c>
      <c r="R23" s="31" t="n">
        <f aca="false">COUNTIF(R7,$A$22)</f>
        <v>0</v>
      </c>
      <c r="S23" s="31" t="n">
        <f aca="false">COUNTIF(S7,$A$22)</f>
        <v>0</v>
      </c>
      <c r="T23" s="31" t="n">
        <f aca="false">COUNTIF(T7,$A$22)</f>
        <v>0</v>
      </c>
      <c r="U23" s="31" t="n">
        <f aca="false">COUNTIF(U7,$A$22)</f>
        <v>0</v>
      </c>
      <c r="V23" s="31" t="n">
        <f aca="false">COUNTIF(V7,$A$22)</f>
        <v>0</v>
      </c>
      <c r="W23" s="31" t="n">
        <f aca="false">COUNTIF(W7,$A$22)</f>
        <v>0</v>
      </c>
      <c r="X23" s="31" t="n">
        <f aca="false">COUNTIF(X7,$A$22)</f>
        <v>0</v>
      </c>
      <c r="Y23" s="31" t="n">
        <f aca="false">COUNTIF(Y7,$A$22)</f>
        <v>0</v>
      </c>
    </row>
    <row r="24" customFormat="false" ht="15.75" hidden="false" customHeight="true" outlineLevel="0" collapsed="false">
      <c r="A24" s="31"/>
      <c r="B24" s="31" t="n">
        <f aca="false">COUNTIF(B8,$A$22)</f>
        <v>0</v>
      </c>
      <c r="C24" s="31" t="n">
        <f aca="false">COUNTIF(C8,$A$22)</f>
        <v>0</v>
      </c>
      <c r="D24" s="31" t="n">
        <f aca="false">COUNTIF(D8,$A$22)</f>
        <v>0</v>
      </c>
      <c r="E24" s="31" t="n">
        <f aca="false">COUNTIF(E8,$A$22)</f>
        <v>0</v>
      </c>
      <c r="F24" s="31" t="n">
        <f aca="false">COUNTIF(F8,$A$22)</f>
        <v>1</v>
      </c>
      <c r="G24" s="31" t="n">
        <f aca="false">COUNTIF(G8,$A$22)</f>
        <v>1</v>
      </c>
      <c r="H24" s="31" t="n">
        <f aca="false">COUNTIF(H8,$A$22)</f>
        <v>0</v>
      </c>
      <c r="I24" s="31" t="n">
        <f aca="false">COUNTIF(I8,$A$22)</f>
        <v>0</v>
      </c>
      <c r="J24" s="31" t="n">
        <f aca="false">COUNTIF(J8,$A$22)</f>
        <v>0</v>
      </c>
      <c r="K24" s="31" t="n">
        <f aca="false">COUNTIF(K8,$A$22)</f>
        <v>1</v>
      </c>
      <c r="L24" s="31" t="n">
        <f aca="false">COUNTIF(L8,$A$22)</f>
        <v>1</v>
      </c>
      <c r="M24" s="31" t="n">
        <f aca="false">COUNTIF(M8,$A$22)</f>
        <v>1</v>
      </c>
      <c r="N24" s="31" t="n">
        <f aca="false">COUNTIF(N8,$A$22)</f>
        <v>1</v>
      </c>
      <c r="O24" s="31" t="n">
        <f aca="false">COUNTIF(O8,$A$22)</f>
        <v>0</v>
      </c>
      <c r="P24" s="31" t="n">
        <f aca="false">COUNTIF(P8,$A$22)</f>
        <v>0</v>
      </c>
      <c r="Q24" s="31" t="n">
        <f aca="false">COUNTIF(Q8,$A$22)</f>
        <v>0</v>
      </c>
      <c r="R24" s="31" t="n">
        <f aca="false">COUNTIF(R8,$A$22)</f>
        <v>0</v>
      </c>
      <c r="S24" s="31" t="n">
        <f aca="false">COUNTIF(S8,$A$22)</f>
        <v>0</v>
      </c>
      <c r="T24" s="31" t="n">
        <f aca="false">COUNTIF(T8,$A$22)</f>
        <v>0</v>
      </c>
      <c r="U24" s="31" t="n">
        <f aca="false">COUNTIF(U8,$A$22)</f>
        <v>0</v>
      </c>
      <c r="V24" s="31" t="n">
        <f aca="false">COUNTIF(V8,$A$22)</f>
        <v>0</v>
      </c>
      <c r="W24" s="31" t="n">
        <f aca="false">COUNTIF(W8,$A$22)</f>
        <v>0</v>
      </c>
      <c r="X24" s="31" t="n">
        <f aca="false">COUNTIF(X8,$A$22)</f>
        <v>0</v>
      </c>
      <c r="Y24" s="31" t="n">
        <f aca="false">COUNTIF(Y8,$A$22)</f>
        <v>0</v>
      </c>
    </row>
    <row r="25" customFormat="false" ht="15.75" hidden="false" customHeight="true" outlineLevel="0" collapsed="false">
      <c r="A25" s="31"/>
      <c r="B25" s="31" t="n">
        <f aca="false">COUNTIF(B9,$A$22)</f>
        <v>0</v>
      </c>
      <c r="C25" s="31" t="n">
        <f aca="false">COUNTIF(C9,$A$22)</f>
        <v>0</v>
      </c>
      <c r="D25" s="31" t="n">
        <f aca="false">COUNTIF(D9,$A$22)</f>
        <v>0</v>
      </c>
      <c r="E25" s="31" t="n">
        <f aca="false">COUNTIF(E9,$A$22)</f>
        <v>0</v>
      </c>
      <c r="F25" s="31" t="n">
        <f aca="false">COUNTIF(F9,$A$22)</f>
        <v>0</v>
      </c>
      <c r="G25" s="31" t="n">
        <f aca="false">COUNTIF(G9,$A$22)</f>
        <v>0</v>
      </c>
      <c r="H25" s="31" t="n">
        <f aca="false">COUNTIF(H9,$A$22)</f>
        <v>0</v>
      </c>
      <c r="I25" s="31" t="n">
        <f aca="false">COUNTIF(I9,$A$22)</f>
        <v>0</v>
      </c>
      <c r="J25" s="31" t="n">
        <f aca="false">COUNTIF(J9,$A$22)</f>
        <v>0</v>
      </c>
      <c r="K25" s="31" t="n">
        <f aca="false">COUNTIF(K9,$A$22)</f>
        <v>0</v>
      </c>
      <c r="L25" s="31" t="n">
        <f aca="false">COUNTIF(L9,$A$22)</f>
        <v>0</v>
      </c>
      <c r="M25" s="31" t="n">
        <f aca="false">COUNTIF(M9,$A$22)</f>
        <v>0</v>
      </c>
      <c r="N25" s="31" t="n">
        <f aca="false">COUNTIF(N9,$A$22)</f>
        <v>0</v>
      </c>
      <c r="O25" s="31" t="n">
        <f aca="false">COUNTIF(O9,$A$22)</f>
        <v>0</v>
      </c>
      <c r="P25" s="31" t="n">
        <f aca="false">COUNTIF(P9,$A$22)</f>
        <v>0</v>
      </c>
      <c r="Q25" s="31" t="n">
        <f aca="false">COUNTIF(Q9,$A$22)</f>
        <v>0</v>
      </c>
      <c r="R25" s="31" t="n">
        <f aca="false">COUNTIF(R9,$A$22)</f>
        <v>0</v>
      </c>
      <c r="S25" s="31" t="n">
        <f aca="false">COUNTIF(S9,$A$22)</f>
        <v>0</v>
      </c>
      <c r="T25" s="31" t="n">
        <f aca="false">COUNTIF(T9,$A$22)</f>
        <v>0</v>
      </c>
      <c r="U25" s="31" t="n">
        <f aca="false">COUNTIF(U9,$A$22)</f>
        <v>0</v>
      </c>
      <c r="V25" s="31" t="n">
        <f aca="false">COUNTIF(V9,$A$22)</f>
        <v>0</v>
      </c>
      <c r="W25" s="31" t="n">
        <f aca="false">COUNTIF(W9,$A$22)</f>
        <v>0</v>
      </c>
      <c r="X25" s="31" t="n">
        <f aca="false">COUNTIF(X9,$A$22)</f>
        <v>0</v>
      </c>
      <c r="Y25" s="31" t="n">
        <f aca="false">COUNTIF(Y9,$A$22)</f>
        <v>0</v>
      </c>
    </row>
    <row r="26" customFormat="false" ht="15.75" hidden="false" customHeight="true" outlineLevel="0" collapsed="false">
      <c r="A26" s="31"/>
      <c r="B26" s="31" t="n">
        <f aca="false">COUNTIF(B10,$A$22)</f>
        <v>0</v>
      </c>
      <c r="C26" s="31" t="n">
        <f aca="false">COUNTIF(C10,$A$22)</f>
        <v>0</v>
      </c>
      <c r="D26" s="31" t="n">
        <f aca="false">COUNTIF(D10,$A$22)</f>
        <v>0</v>
      </c>
      <c r="E26" s="31" t="n">
        <f aca="false">COUNTIF(E10,$A$22)</f>
        <v>0</v>
      </c>
      <c r="F26" s="31" t="n">
        <f aca="false">COUNTIF(F10,$A$22)</f>
        <v>0</v>
      </c>
      <c r="G26" s="31" t="n">
        <f aca="false">COUNTIF(G10,$A$22)</f>
        <v>0</v>
      </c>
      <c r="H26" s="31" t="n">
        <f aca="false">COUNTIF(H10,$A$22)</f>
        <v>0</v>
      </c>
      <c r="I26" s="31" t="n">
        <f aca="false">COUNTIF(I10,$A$22)</f>
        <v>0</v>
      </c>
      <c r="J26" s="31" t="n">
        <f aca="false">COUNTIF(J10,$A$22)</f>
        <v>1</v>
      </c>
      <c r="K26" s="31" t="n">
        <f aca="false">COUNTIF(K10,$A$22)</f>
        <v>1</v>
      </c>
      <c r="L26" s="31" t="n">
        <f aca="false">COUNTIF(L10,$A$22)</f>
        <v>1</v>
      </c>
      <c r="M26" s="31" t="n">
        <f aca="false">COUNTIF(M10,$A$22)</f>
        <v>1</v>
      </c>
      <c r="N26" s="31" t="n">
        <f aca="false">COUNTIF(N10,$A$22)</f>
        <v>1</v>
      </c>
      <c r="O26" s="31" t="n">
        <f aca="false">COUNTIF(O10,$A$22)</f>
        <v>1</v>
      </c>
      <c r="P26" s="31" t="n">
        <f aca="false">COUNTIF(P10,$A$22)</f>
        <v>1</v>
      </c>
      <c r="Q26" s="31" t="n">
        <f aca="false">COUNTIF(Q10,$A$22)</f>
        <v>1</v>
      </c>
      <c r="R26" s="31" t="n">
        <f aca="false">COUNTIF(R10,$A$22)</f>
        <v>1</v>
      </c>
      <c r="S26" s="31" t="n">
        <f aca="false">COUNTIF(S10,$A$22)</f>
        <v>1</v>
      </c>
      <c r="T26" s="31" t="n">
        <f aca="false">COUNTIF(T10,$A$22)</f>
        <v>0</v>
      </c>
      <c r="U26" s="31" t="n">
        <f aca="false">COUNTIF(U10,$A$22)</f>
        <v>0</v>
      </c>
      <c r="V26" s="31" t="n">
        <f aca="false">COUNTIF(V10,$A$22)</f>
        <v>0</v>
      </c>
      <c r="W26" s="31" t="n">
        <f aca="false">COUNTIF(W10,$A$22)</f>
        <v>0</v>
      </c>
      <c r="X26" s="31" t="n">
        <f aca="false">COUNTIF(X10,$A$22)</f>
        <v>0</v>
      </c>
      <c r="Y26" s="31" t="n">
        <f aca="false">COUNTIF(Y10,$A$22)</f>
        <v>0</v>
      </c>
    </row>
    <row r="27" customFormat="false" ht="15.75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customFormat="false" ht="15.75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customFormat="false" ht="15.75" hidden="false" customHeight="true" outlineLevel="0" collapsed="false">
      <c r="A29" s="31" t="s">
        <v>167</v>
      </c>
      <c r="B29" s="31" t="n">
        <f aca="false">COUNTIF(B6,$A$29)</f>
        <v>0</v>
      </c>
      <c r="C29" s="31" t="n">
        <f aca="false">COUNTIF(C6,$A$29)</f>
        <v>0</v>
      </c>
      <c r="D29" s="31" t="n">
        <f aca="false">COUNTIF(D6,$A$29)</f>
        <v>1</v>
      </c>
      <c r="E29" s="31" t="n">
        <f aca="false">COUNTIF(E6,$A$29)</f>
        <v>1</v>
      </c>
      <c r="F29" s="31" t="n">
        <f aca="false">COUNTIF(F6,$A$29)</f>
        <v>0</v>
      </c>
      <c r="G29" s="31" t="n">
        <f aca="false">COUNTIF(G6,$A$29)</f>
        <v>0</v>
      </c>
      <c r="H29" s="31" t="n">
        <f aca="false">COUNTIF(H6,$A$29)</f>
        <v>0</v>
      </c>
      <c r="I29" s="31" t="n">
        <f aca="false">COUNTIF(I6,$A$29)</f>
        <v>0</v>
      </c>
      <c r="J29" s="31" t="n">
        <f aca="false">COUNTIF(J6,$A$29)</f>
        <v>0</v>
      </c>
      <c r="K29" s="31" t="n">
        <f aca="false">COUNTIF(K6,$A$29)</f>
        <v>1</v>
      </c>
      <c r="L29" s="31" t="n">
        <f aca="false">COUNTIF(L6,$A$29)</f>
        <v>1</v>
      </c>
      <c r="M29" s="31" t="n">
        <f aca="false">COUNTIF(M6,$A$29)</f>
        <v>1</v>
      </c>
      <c r="N29" s="31" t="n">
        <f aca="false">COUNTIF(N6,$A$29)</f>
        <v>1</v>
      </c>
      <c r="O29" s="31" t="n">
        <f aca="false">COUNTIF(O6,$A$29)</f>
        <v>0</v>
      </c>
      <c r="P29" s="31" t="n">
        <f aca="false">COUNTIF(P6,$A$29)</f>
        <v>0</v>
      </c>
      <c r="Q29" s="31" t="n">
        <f aca="false">COUNTIF(Q6,$A$29)</f>
        <v>0</v>
      </c>
      <c r="R29" s="31" t="n">
        <f aca="false">COUNTIF(R6,$A$29)</f>
        <v>0</v>
      </c>
      <c r="S29" s="31" t="n">
        <f aca="false">COUNTIF(S6,$A$29)</f>
        <v>0</v>
      </c>
      <c r="T29" s="31" t="n">
        <f aca="false">COUNTIF(T6,$A$29)</f>
        <v>0</v>
      </c>
      <c r="U29" s="31" t="n">
        <f aca="false">COUNTIF(U6,$A$29)</f>
        <v>0</v>
      </c>
      <c r="V29" s="31" t="n">
        <f aca="false">COUNTIF(V6,$A$29)</f>
        <v>0</v>
      </c>
      <c r="W29" s="31" t="n">
        <f aca="false">COUNTIF(W6,$A$29)</f>
        <v>0</v>
      </c>
      <c r="X29" s="31" t="n">
        <f aca="false">COUNTIF(X6,$A$29)</f>
        <v>0</v>
      </c>
      <c r="Y29" s="31" t="n">
        <f aca="false">COUNTIF(Y6,$A$29)</f>
        <v>0</v>
      </c>
    </row>
    <row r="30" customFormat="false" ht="15.75" hidden="false" customHeight="true" outlineLevel="0" collapsed="false">
      <c r="A30" s="31"/>
      <c r="B30" s="31" t="n">
        <f aca="false">COUNTIF(B7,$A$29)</f>
        <v>0</v>
      </c>
      <c r="C30" s="31" t="n">
        <f aca="false">COUNTIF(C7,$A$29)</f>
        <v>0</v>
      </c>
      <c r="D30" s="31" t="n">
        <f aca="false">COUNTIF(D7,$A$29)</f>
        <v>0</v>
      </c>
      <c r="E30" s="31" t="n">
        <f aca="false">COUNTIF(E7,$A$29)</f>
        <v>0</v>
      </c>
      <c r="F30" s="31" t="n">
        <f aca="false">COUNTIF(F7,$A$29)</f>
        <v>0</v>
      </c>
      <c r="G30" s="31" t="n">
        <f aca="false">COUNTIF(G7,$A$29)</f>
        <v>0</v>
      </c>
      <c r="H30" s="31" t="n">
        <f aca="false">COUNTIF(H7,$A$29)</f>
        <v>0</v>
      </c>
      <c r="I30" s="31" t="n">
        <f aca="false">COUNTIF(I7,$A$29)</f>
        <v>0</v>
      </c>
      <c r="J30" s="31" t="n">
        <f aca="false">COUNTIF(J7,$A$29)</f>
        <v>0</v>
      </c>
      <c r="K30" s="31" t="n">
        <f aca="false">COUNTIF(K7,$A$29)</f>
        <v>0</v>
      </c>
      <c r="L30" s="31" t="n">
        <f aca="false">COUNTIF(L7,$A$29)</f>
        <v>0</v>
      </c>
      <c r="M30" s="31" t="n">
        <f aca="false">COUNTIF(M7,$A$29)</f>
        <v>0</v>
      </c>
      <c r="N30" s="31" t="n">
        <f aca="false">COUNTIF(N7,$A$29)</f>
        <v>0</v>
      </c>
      <c r="O30" s="31" t="n">
        <f aca="false">COUNTIF(O7,$A$29)</f>
        <v>0</v>
      </c>
      <c r="P30" s="31" t="n">
        <f aca="false">COUNTIF(P7,$A$29)</f>
        <v>0</v>
      </c>
      <c r="Q30" s="31" t="n">
        <f aca="false">COUNTIF(Q7,$A$29)</f>
        <v>0</v>
      </c>
      <c r="R30" s="31" t="n">
        <f aca="false">COUNTIF(R7,$A$29)</f>
        <v>0</v>
      </c>
      <c r="S30" s="31" t="n">
        <f aca="false">COUNTIF(S7,$A$29)</f>
        <v>0</v>
      </c>
      <c r="T30" s="31" t="n">
        <f aca="false">COUNTIF(T7,$A$29)</f>
        <v>0</v>
      </c>
      <c r="U30" s="31" t="n">
        <f aca="false">COUNTIF(U7,$A$29)</f>
        <v>0</v>
      </c>
      <c r="V30" s="31" t="n">
        <f aca="false">COUNTIF(V7,$A$29)</f>
        <v>0</v>
      </c>
      <c r="W30" s="31" t="n">
        <f aca="false">COUNTIF(W7,$A$29)</f>
        <v>0</v>
      </c>
      <c r="X30" s="31" t="n">
        <f aca="false">COUNTIF(X7,$A$29)</f>
        <v>0</v>
      </c>
      <c r="Y30" s="31" t="n">
        <f aca="false">COUNTIF(Y7,$A$29)</f>
        <v>0</v>
      </c>
    </row>
    <row r="31" customFormat="false" ht="15.75" hidden="false" customHeight="true" outlineLevel="0" collapsed="false">
      <c r="A31" s="31"/>
      <c r="B31" s="31" t="n">
        <f aca="false">COUNTIF(B8,$A$29)</f>
        <v>0</v>
      </c>
      <c r="C31" s="31" t="n">
        <f aca="false">COUNTIF(C8,$A$29)</f>
        <v>0</v>
      </c>
      <c r="D31" s="31" t="n">
        <f aca="false">COUNTIF(D8,$A$29)</f>
        <v>1</v>
      </c>
      <c r="E31" s="31" t="n">
        <f aca="false">COUNTIF(E8,$A$29)</f>
        <v>1</v>
      </c>
      <c r="F31" s="31" t="n">
        <f aca="false">COUNTIF(F8,$A$29)</f>
        <v>0</v>
      </c>
      <c r="G31" s="31" t="n">
        <f aca="false">COUNTIF(G8,$A$29)</f>
        <v>0</v>
      </c>
      <c r="H31" s="31" t="n">
        <f aca="false">COUNTIF(H8,$A$29)</f>
        <v>0</v>
      </c>
      <c r="I31" s="31" t="n">
        <f aca="false">COUNTIF(I8,$A$29)</f>
        <v>0</v>
      </c>
      <c r="J31" s="31" t="n">
        <f aca="false">COUNTIF(J8,$A$29)</f>
        <v>0</v>
      </c>
      <c r="K31" s="31" t="n">
        <f aca="false">COUNTIF(K8,$A$29)</f>
        <v>0</v>
      </c>
      <c r="L31" s="31" t="n">
        <f aca="false">COUNTIF(L8,$A$29)</f>
        <v>0</v>
      </c>
      <c r="M31" s="31" t="n">
        <f aca="false">COUNTIF(M8,$A$29)</f>
        <v>0</v>
      </c>
      <c r="N31" s="31" t="n">
        <f aca="false">COUNTIF(N8,$A$29)</f>
        <v>0</v>
      </c>
      <c r="O31" s="31" t="n">
        <f aca="false">COUNTIF(O8,$A$29)</f>
        <v>0</v>
      </c>
      <c r="P31" s="31" t="n">
        <f aca="false">COUNTIF(P8,$A$29)</f>
        <v>0</v>
      </c>
      <c r="Q31" s="31" t="n">
        <f aca="false">COUNTIF(Q8,$A$29)</f>
        <v>0</v>
      </c>
      <c r="R31" s="31" t="n">
        <f aca="false">COUNTIF(R8,$A$29)</f>
        <v>0</v>
      </c>
      <c r="S31" s="31" t="n">
        <f aca="false">COUNTIF(S8,$A$29)</f>
        <v>0</v>
      </c>
      <c r="T31" s="31" t="n">
        <f aca="false">COUNTIF(T8,$A$29)</f>
        <v>0</v>
      </c>
      <c r="U31" s="31" t="n">
        <f aca="false">COUNTIF(U8,$A$29)</f>
        <v>0</v>
      </c>
      <c r="V31" s="31" t="n">
        <f aca="false">COUNTIF(V8,$A$29)</f>
        <v>0</v>
      </c>
      <c r="W31" s="31" t="n">
        <f aca="false">COUNTIF(W8,$A$29)</f>
        <v>0</v>
      </c>
      <c r="X31" s="31" t="n">
        <f aca="false">COUNTIF(X8,$A$29)</f>
        <v>0</v>
      </c>
      <c r="Y31" s="31" t="n">
        <f aca="false">COUNTIF(Y8,$A$29)</f>
        <v>0</v>
      </c>
    </row>
    <row r="32" customFormat="false" ht="15.75" hidden="false" customHeight="true" outlineLevel="0" collapsed="false">
      <c r="A32" s="31"/>
      <c r="B32" s="31" t="n">
        <f aca="false">COUNTIF(B9,$A$29)</f>
        <v>0</v>
      </c>
      <c r="C32" s="31" t="n">
        <f aca="false">COUNTIF(C9,$A$29)</f>
        <v>0</v>
      </c>
      <c r="D32" s="31" t="n">
        <f aca="false">COUNTIF(D9,$A$29)</f>
        <v>0</v>
      </c>
      <c r="E32" s="31" t="n">
        <f aca="false">COUNTIF(E9,$A$29)</f>
        <v>0</v>
      </c>
      <c r="F32" s="31" t="n">
        <f aca="false">COUNTIF(F9,$A$29)</f>
        <v>0</v>
      </c>
      <c r="G32" s="31" t="n">
        <f aca="false">COUNTIF(G9,$A$29)</f>
        <v>0</v>
      </c>
      <c r="H32" s="31" t="n">
        <f aca="false">COUNTIF(H9,$A$29)</f>
        <v>0</v>
      </c>
      <c r="I32" s="31" t="n">
        <f aca="false">COUNTIF(I9,$A$29)</f>
        <v>0</v>
      </c>
      <c r="J32" s="31" t="n">
        <f aca="false">COUNTIF(J9,$A$29)</f>
        <v>0</v>
      </c>
      <c r="K32" s="31" t="n">
        <f aca="false">COUNTIF(K9,$A$29)</f>
        <v>0</v>
      </c>
      <c r="L32" s="31" t="n">
        <f aca="false">COUNTIF(L9,$A$29)</f>
        <v>0</v>
      </c>
      <c r="M32" s="31" t="n">
        <f aca="false">COUNTIF(M9,$A$29)</f>
        <v>0</v>
      </c>
      <c r="N32" s="31" t="n">
        <f aca="false">COUNTIF(N9,$A$29)</f>
        <v>0</v>
      </c>
      <c r="O32" s="31" t="n">
        <f aca="false">COUNTIF(O9,$A$29)</f>
        <v>0</v>
      </c>
      <c r="P32" s="31" t="n">
        <f aca="false">COUNTIF(P9,$A$29)</f>
        <v>0</v>
      </c>
      <c r="Q32" s="31" t="n">
        <f aca="false">COUNTIF(Q9,$A$29)</f>
        <v>0</v>
      </c>
      <c r="R32" s="31" t="n">
        <f aca="false">COUNTIF(R9,$A$29)</f>
        <v>0</v>
      </c>
      <c r="S32" s="31" t="n">
        <f aca="false">COUNTIF(S9,$A$29)</f>
        <v>0</v>
      </c>
      <c r="T32" s="31" t="n">
        <f aca="false">COUNTIF(T9,$A$29)</f>
        <v>0</v>
      </c>
      <c r="U32" s="31" t="n">
        <f aca="false">COUNTIF(U9,$A$29)</f>
        <v>0</v>
      </c>
      <c r="V32" s="31" t="n">
        <f aca="false">COUNTIF(V9,$A$29)</f>
        <v>0</v>
      </c>
      <c r="W32" s="31" t="n">
        <f aca="false">COUNTIF(W9,$A$29)</f>
        <v>0</v>
      </c>
      <c r="X32" s="31" t="n">
        <f aca="false">COUNTIF(X9,$A$29)</f>
        <v>0</v>
      </c>
      <c r="Y32" s="31" t="n">
        <f aca="false">COUNTIF(Y9,$A$29)</f>
        <v>0</v>
      </c>
    </row>
    <row r="33" customFormat="false" ht="15.75" hidden="false" customHeight="true" outlineLevel="0" collapsed="false">
      <c r="A33" s="31"/>
      <c r="B33" s="31" t="n">
        <f aca="false">COUNTIF(B10,$A$29)</f>
        <v>0</v>
      </c>
      <c r="C33" s="31" t="n">
        <f aca="false">COUNTIF(C10,$A$29)</f>
        <v>0</v>
      </c>
      <c r="D33" s="31" t="n">
        <f aca="false">COUNTIF(D10,$A$29)</f>
        <v>0</v>
      </c>
      <c r="E33" s="31" t="n">
        <f aca="false">COUNTIF(E10,$A$29)</f>
        <v>0</v>
      </c>
      <c r="F33" s="31" t="n">
        <f aca="false">COUNTIF(F10,$A$29)</f>
        <v>0</v>
      </c>
      <c r="G33" s="31" t="n">
        <f aca="false">COUNTIF(G10,$A$29)</f>
        <v>0</v>
      </c>
      <c r="H33" s="31" t="n">
        <f aca="false">COUNTIF(H10,$A$29)</f>
        <v>0</v>
      </c>
      <c r="I33" s="31" t="n">
        <f aca="false">COUNTIF(I10,$A$29)</f>
        <v>0</v>
      </c>
      <c r="J33" s="31" t="n">
        <f aca="false">COUNTIF(J10,$A$29)</f>
        <v>0</v>
      </c>
      <c r="K33" s="31" t="n">
        <f aca="false">COUNTIF(K10,$A$29)</f>
        <v>0</v>
      </c>
      <c r="L33" s="31" t="n">
        <f aca="false">COUNTIF(L10,$A$29)</f>
        <v>0</v>
      </c>
      <c r="M33" s="31" t="n">
        <f aca="false">COUNTIF(M10,$A$29)</f>
        <v>0</v>
      </c>
      <c r="N33" s="31" t="n">
        <f aca="false">COUNTIF(N10,$A$29)</f>
        <v>0</v>
      </c>
      <c r="O33" s="31" t="n">
        <f aca="false">COUNTIF(O10,$A$29)</f>
        <v>0</v>
      </c>
      <c r="P33" s="31" t="n">
        <f aca="false">COUNTIF(P10,$A$29)</f>
        <v>0</v>
      </c>
      <c r="Q33" s="31" t="n">
        <f aca="false">COUNTIF(Q10,$A$29)</f>
        <v>0</v>
      </c>
      <c r="R33" s="31" t="n">
        <f aca="false">COUNTIF(R10,$A$29)</f>
        <v>0</v>
      </c>
      <c r="S33" s="31" t="n">
        <f aca="false">COUNTIF(S10,$A$29)</f>
        <v>0</v>
      </c>
      <c r="T33" s="31" t="n">
        <f aca="false">COUNTIF(T10,$A$29)</f>
        <v>0</v>
      </c>
      <c r="U33" s="31" t="n">
        <f aca="false">COUNTIF(U10,$A$29)</f>
        <v>0</v>
      </c>
      <c r="V33" s="31" t="n">
        <f aca="false">COUNTIF(V10,$A$29)</f>
        <v>0</v>
      </c>
      <c r="W33" s="31" t="n">
        <f aca="false">COUNTIF(W10,$A$29)</f>
        <v>0</v>
      </c>
      <c r="X33" s="31" t="n">
        <f aca="false">COUNTIF(X10,$A$29)</f>
        <v>0</v>
      </c>
      <c r="Y33" s="31" t="n">
        <f aca="false">COUNTIF(Y10,$A$29)</f>
        <v>0</v>
      </c>
    </row>
    <row r="34" customFormat="false" ht="15.75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customFormat="false" ht="15.75" hidden="false" customHeight="true" outlineLevel="0" collapsed="false">
      <c r="A35" s="31" t="s">
        <v>173</v>
      </c>
      <c r="B35" s="31" t="n">
        <f aca="false">COUNTIF(B6,$A$35)</f>
        <v>0</v>
      </c>
      <c r="C35" s="31" t="n">
        <f aca="false">COUNTIF(C6,$A$35)</f>
        <v>0</v>
      </c>
      <c r="D35" s="31" t="n">
        <f aca="false">COUNTIF(D6,$A$35)</f>
        <v>0</v>
      </c>
      <c r="E35" s="31" t="n">
        <f aca="false">COUNTIF(E6,$A$35)</f>
        <v>0</v>
      </c>
      <c r="F35" s="31" t="n">
        <f aca="false">COUNTIF(F6,$A$35)</f>
        <v>0</v>
      </c>
      <c r="G35" s="31" t="n">
        <f aca="false">COUNTIF(G6,$A$35)</f>
        <v>0</v>
      </c>
      <c r="H35" s="31" t="n">
        <f aca="false">COUNTIF(H6,$A$35)</f>
        <v>0</v>
      </c>
      <c r="I35" s="31" t="n">
        <f aca="false">COUNTIF(I6,$A$35)</f>
        <v>0</v>
      </c>
      <c r="J35" s="31" t="n">
        <f aca="false">COUNTIF(J6,$A$35)</f>
        <v>0</v>
      </c>
      <c r="K35" s="31" t="n">
        <f aca="false">COUNTIF(K6,$A$35)</f>
        <v>0</v>
      </c>
      <c r="L35" s="31" t="n">
        <f aca="false">COUNTIF(L6,$A$35)</f>
        <v>0</v>
      </c>
      <c r="M35" s="31" t="n">
        <f aca="false">COUNTIF(M6,$A$35)</f>
        <v>0</v>
      </c>
      <c r="N35" s="31" t="n">
        <f aca="false">COUNTIF(N6,$A$35)</f>
        <v>0</v>
      </c>
      <c r="O35" s="31" t="n">
        <f aca="false">COUNTIF(O6,$A$35)</f>
        <v>0</v>
      </c>
      <c r="P35" s="31" t="n">
        <f aca="false">COUNTIF(P6,$A$35)</f>
        <v>0</v>
      </c>
      <c r="Q35" s="31" t="n">
        <f aca="false">COUNTIF(Q6,$A$35)</f>
        <v>0</v>
      </c>
      <c r="R35" s="31" t="n">
        <f aca="false">COUNTIF(R6,$A$35)</f>
        <v>0</v>
      </c>
      <c r="S35" s="31" t="n">
        <f aca="false">COUNTIF(S6,$A$35)</f>
        <v>0</v>
      </c>
      <c r="T35" s="31" t="n">
        <f aca="false">COUNTIF(T6,$A$35)</f>
        <v>0</v>
      </c>
      <c r="U35" s="31" t="n">
        <f aca="false">COUNTIF(U6,$A$35)</f>
        <v>0</v>
      </c>
      <c r="V35" s="31" t="n">
        <f aca="false">COUNTIF(V6,$A$35)</f>
        <v>0</v>
      </c>
      <c r="W35" s="31" t="n">
        <f aca="false">COUNTIF(W6,$A$35)</f>
        <v>0</v>
      </c>
      <c r="X35" s="31" t="n">
        <f aca="false">COUNTIF(X6,$A$35)</f>
        <v>0</v>
      </c>
      <c r="Y35" s="31" t="n">
        <f aca="false">COUNTIF(Y6,$A$35)</f>
        <v>0</v>
      </c>
    </row>
    <row r="36" customFormat="false" ht="15.75" hidden="false" customHeight="true" outlineLevel="0" collapsed="false">
      <c r="A36" s="31"/>
      <c r="B36" s="31" t="n">
        <f aca="false">COUNTIF(B7,$A$35)</f>
        <v>0</v>
      </c>
      <c r="C36" s="31" t="n">
        <f aca="false">COUNTIF(C7,$A$35)</f>
        <v>0</v>
      </c>
      <c r="D36" s="31" t="n">
        <f aca="false">COUNTIF(D7,$A$35)</f>
        <v>0</v>
      </c>
      <c r="E36" s="31" t="n">
        <f aca="false">COUNTIF(E7,$A$35)</f>
        <v>0</v>
      </c>
      <c r="F36" s="31" t="n">
        <f aca="false">COUNTIF(F7,$A$35)</f>
        <v>0</v>
      </c>
      <c r="G36" s="31" t="n">
        <f aca="false">COUNTIF(G7,$A$35)</f>
        <v>0</v>
      </c>
      <c r="H36" s="31" t="n">
        <f aca="false">COUNTIF(H7,$A$35)</f>
        <v>0</v>
      </c>
      <c r="I36" s="31" t="n">
        <f aca="false">COUNTIF(I7,$A$35)</f>
        <v>0</v>
      </c>
      <c r="J36" s="31" t="n">
        <f aca="false">COUNTIF(J7,$A$35)</f>
        <v>0</v>
      </c>
      <c r="K36" s="31" t="n">
        <f aca="false">COUNTIF(K7,$A$35)</f>
        <v>0</v>
      </c>
      <c r="L36" s="31" t="n">
        <f aca="false">COUNTIF(L7,$A$35)</f>
        <v>0</v>
      </c>
      <c r="M36" s="31" t="n">
        <f aca="false">COUNTIF(M7,$A$35)</f>
        <v>0</v>
      </c>
      <c r="N36" s="31" t="n">
        <f aca="false">COUNTIF(N7,$A$35)</f>
        <v>0</v>
      </c>
      <c r="O36" s="31" t="n">
        <f aca="false">COUNTIF(O7,$A$35)</f>
        <v>0</v>
      </c>
      <c r="P36" s="31" t="n">
        <f aca="false">COUNTIF(P7,$A$35)</f>
        <v>0</v>
      </c>
      <c r="Q36" s="31" t="n">
        <f aca="false">COUNTIF(Q7,$A$35)</f>
        <v>0</v>
      </c>
      <c r="R36" s="31" t="n">
        <f aca="false">COUNTIF(R7,$A$35)</f>
        <v>0</v>
      </c>
      <c r="S36" s="31" t="n">
        <f aca="false">COUNTIF(S7,$A$35)</f>
        <v>0</v>
      </c>
      <c r="T36" s="31" t="n">
        <f aca="false">COUNTIF(T7,$A$35)</f>
        <v>0</v>
      </c>
      <c r="U36" s="31" t="n">
        <f aca="false">COUNTIF(U7,$A$35)</f>
        <v>0</v>
      </c>
      <c r="V36" s="31" t="n">
        <f aca="false">COUNTIF(V7,$A$35)</f>
        <v>0</v>
      </c>
      <c r="W36" s="31" t="n">
        <f aca="false">COUNTIF(W7,$A$35)</f>
        <v>0</v>
      </c>
      <c r="X36" s="31" t="n">
        <f aca="false">COUNTIF(X7,$A$35)</f>
        <v>0</v>
      </c>
      <c r="Y36" s="31" t="n">
        <f aca="false">COUNTIF(Y7,$A$35)</f>
        <v>0</v>
      </c>
    </row>
    <row r="37" customFormat="false" ht="15.75" hidden="false" customHeight="true" outlineLevel="0" collapsed="false">
      <c r="A37" s="31"/>
      <c r="B37" s="31" t="n">
        <f aca="false">COUNTIF(B8,$A$35)</f>
        <v>0</v>
      </c>
      <c r="C37" s="31" t="n">
        <f aca="false">COUNTIF(C8,$A$35)</f>
        <v>0</v>
      </c>
      <c r="D37" s="31" t="n">
        <f aca="false">COUNTIF(D8,$A$35)</f>
        <v>0</v>
      </c>
      <c r="E37" s="31" t="n">
        <f aca="false">COUNTIF(E8,$A$35)</f>
        <v>0</v>
      </c>
      <c r="F37" s="31" t="n">
        <f aca="false">COUNTIF(F8,$A$35)</f>
        <v>0</v>
      </c>
      <c r="G37" s="31" t="n">
        <f aca="false">COUNTIF(G8,$A$35)</f>
        <v>0</v>
      </c>
      <c r="H37" s="31" t="n">
        <f aca="false">COUNTIF(H8,$A$35)</f>
        <v>0</v>
      </c>
      <c r="I37" s="31" t="n">
        <f aca="false">COUNTIF(I8,$A$35)</f>
        <v>0</v>
      </c>
      <c r="J37" s="31" t="n">
        <f aca="false">COUNTIF(J8,$A$35)</f>
        <v>0</v>
      </c>
      <c r="K37" s="31" t="n">
        <f aca="false">COUNTIF(K8,$A$35)</f>
        <v>0</v>
      </c>
      <c r="L37" s="31" t="n">
        <f aca="false">COUNTIF(L8,$A$35)</f>
        <v>0</v>
      </c>
      <c r="M37" s="31" t="n">
        <f aca="false">COUNTIF(M8,$A$35)</f>
        <v>0</v>
      </c>
      <c r="N37" s="31" t="n">
        <f aca="false">COUNTIF(N8,$A$35)</f>
        <v>0</v>
      </c>
      <c r="O37" s="31" t="n">
        <f aca="false">COUNTIF(O8,$A$35)</f>
        <v>0</v>
      </c>
      <c r="P37" s="31" t="n">
        <f aca="false">COUNTIF(P8,$A$35)</f>
        <v>0</v>
      </c>
      <c r="Q37" s="31" t="n">
        <f aca="false">COUNTIF(Q8,$A$35)</f>
        <v>0</v>
      </c>
      <c r="R37" s="31" t="n">
        <f aca="false">COUNTIF(R8,$A$35)</f>
        <v>0</v>
      </c>
      <c r="S37" s="31" t="n">
        <f aca="false">COUNTIF(S8,$A$35)</f>
        <v>0</v>
      </c>
      <c r="T37" s="31" t="n">
        <f aca="false">COUNTIF(T8,$A$35)</f>
        <v>0</v>
      </c>
      <c r="U37" s="31" t="n">
        <f aca="false">COUNTIF(U8,$A$35)</f>
        <v>0</v>
      </c>
      <c r="V37" s="31" t="n">
        <f aca="false">COUNTIF(V8,$A$35)</f>
        <v>0</v>
      </c>
      <c r="W37" s="31" t="n">
        <f aca="false">COUNTIF(W8,$A$35)</f>
        <v>0</v>
      </c>
      <c r="X37" s="31" t="n">
        <f aca="false">COUNTIF(X8,$A$35)</f>
        <v>0</v>
      </c>
      <c r="Y37" s="31" t="n">
        <f aca="false">COUNTIF(Y8,$A$35)</f>
        <v>0</v>
      </c>
    </row>
    <row r="38" customFormat="false" ht="15.75" hidden="false" customHeight="true" outlineLevel="0" collapsed="false">
      <c r="A38" s="31"/>
      <c r="B38" s="31" t="n">
        <f aca="false">COUNTIF(B9,$A$35)</f>
        <v>0</v>
      </c>
      <c r="C38" s="31" t="n">
        <f aca="false">COUNTIF(C9,$A$35)</f>
        <v>0</v>
      </c>
      <c r="D38" s="31" t="n">
        <f aca="false">COUNTIF(D9,$A$35)</f>
        <v>0</v>
      </c>
      <c r="E38" s="31" t="n">
        <f aca="false">COUNTIF(E9,$A$35)</f>
        <v>0</v>
      </c>
      <c r="F38" s="31" t="n">
        <f aca="false">COUNTIF(F9,$A$35)</f>
        <v>0</v>
      </c>
      <c r="G38" s="31" t="n">
        <f aca="false">COUNTIF(G9,$A$35)</f>
        <v>0</v>
      </c>
      <c r="H38" s="31" t="n">
        <f aca="false">COUNTIF(H9,$A$35)</f>
        <v>0</v>
      </c>
      <c r="I38" s="31" t="n">
        <f aca="false">COUNTIF(I9,$A$35)</f>
        <v>0</v>
      </c>
      <c r="J38" s="31" t="n">
        <f aca="false">COUNTIF(J9,$A$35)</f>
        <v>0</v>
      </c>
      <c r="K38" s="31" t="n">
        <f aca="false">COUNTIF(K9,$A$35)</f>
        <v>0</v>
      </c>
      <c r="L38" s="31" t="n">
        <f aca="false">COUNTIF(L9,$A$35)</f>
        <v>0</v>
      </c>
      <c r="M38" s="31" t="n">
        <f aca="false">COUNTIF(M9,$A$35)</f>
        <v>0</v>
      </c>
      <c r="N38" s="31" t="n">
        <f aca="false">COUNTIF(N9,$A$35)</f>
        <v>0</v>
      </c>
      <c r="O38" s="31" t="n">
        <f aca="false">COUNTIF(O9,$A$35)</f>
        <v>0</v>
      </c>
      <c r="P38" s="31" t="n">
        <f aca="false">COUNTIF(P9,$A$35)</f>
        <v>0</v>
      </c>
      <c r="Q38" s="31" t="n">
        <f aca="false">COUNTIF(Q9,$A$35)</f>
        <v>0</v>
      </c>
      <c r="R38" s="31" t="n">
        <f aca="false">COUNTIF(R9,$A$35)</f>
        <v>0</v>
      </c>
      <c r="S38" s="31" t="n">
        <f aca="false">COUNTIF(S9,$A$35)</f>
        <v>0</v>
      </c>
      <c r="T38" s="31" t="n">
        <f aca="false">COUNTIF(T9,$A$35)</f>
        <v>0</v>
      </c>
      <c r="U38" s="31" t="n">
        <f aca="false">COUNTIF(U9,$A$35)</f>
        <v>0</v>
      </c>
      <c r="V38" s="31" t="n">
        <f aca="false">COUNTIF(V9,$A$35)</f>
        <v>0</v>
      </c>
      <c r="W38" s="31" t="n">
        <f aca="false">COUNTIF(W9,$A$35)</f>
        <v>0</v>
      </c>
      <c r="X38" s="31" t="n">
        <f aca="false">COUNTIF(X9,$A$35)</f>
        <v>0</v>
      </c>
      <c r="Y38" s="31" t="n">
        <f aca="false">COUNTIF(Y9,$A$35)</f>
        <v>0</v>
      </c>
    </row>
    <row r="39" customFormat="false" ht="15.75" hidden="false" customHeight="true" outlineLevel="0" collapsed="false">
      <c r="A39" s="31"/>
      <c r="B39" s="31" t="n">
        <f aca="false">COUNTIF(B10,$A$35)</f>
        <v>0</v>
      </c>
      <c r="C39" s="31" t="n">
        <f aca="false">COUNTIF(C10,$A$35)</f>
        <v>0</v>
      </c>
      <c r="D39" s="31" t="n">
        <f aca="false">COUNTIF(D10,$A$35)</f>
        <v>0</v>
      </c>
      <c r="E39" s="31" t="n">
        <f aca="false">COUNTIF(E10,$A$35)</f>
        <v>0</v>
      </c>
      <c r="F39" s="31" t="n">
        <f aca="false">COUNTIF(F10,$A$35)</f>
        <v>0</v>
      </c>
      <c r="G39" s="31" t="n">
        <f aca="false">COUNTIF(G10,$A$35)</f>
        <v>0</v>
      </c>
      <c r="H39" s="31" t="n">
        <f aca="false">COUNTIF(H10,$A$35)</f>
        <v>0</v>
      </c>
      <c r="I39" s="31" t="n">
        <f aca="false">COUNTIF(I10,$A$35)</f>
        <v>0</v>
      </c>
      <c r="J39" s="31" t="n">
        <f aca="false">COUNTIF(J10,$A$35)</f>
        <v>0</v>
      </c>
      <c r="K39" s="31" t="n">
        <f aca="false">COUNTIF(K10,$A$35)</f>
        <v>0</v>
      </c>
      <c r="L39" s="31" t="n">
        <f aca="false">COUNTIF(L10,$A$35)</f>
        <v>0</v>
      </c>
      <c r="M39" s="31" t="n">
        <f aca="false">COUNTIF(M10,$A$35)</f>
        <v>0</v>
      </c>
      <c r="N39" s="31" t="n">
        <f aca="false">COUNTIF(N10,$A$35)</f>
        <v>0</v>
      </c>
      <c r="O39" s="31" t="n">
        <f aca="false">COUNTIF(O10,$A$35)</f>
        <v>0</v>
      </c>
      <c r="P39" s="31" t="n">
        <f aca="false">COUNTIF(P10,$A$35)</f>
        <v>0</v>
      </c>
      <c r="Q39" s="31" t="n">
        <f aca="false">COUNTIF(Q10,$A$35)</f>
        <v>0</v>
      </c>
      <c r="R39" s="31" t="n">
        <f aca="false">COUNTIF(R10,$A$35)</f>
        <v>0</v>
      </c>
      <c r="S39" s="31" t="n">
        <f aca="false">COUNTIF(S10,$A$35)</f>
        <v>0</v>
      </c>
      <c r="T39" s="31" t="n">
        <f aca="false">COUNTIF(T10,$A$35)</f>
        <v>0</v>
      </c>
      <c r="U39" s="31" t="n">
        <f aca="false">COUNTIF(U10,$A$35)</f>
        <v>0</v>
      </c>
      <c r="V39" s="31" t="n">
        <f aca="false">COUNTIF(V10,$A$35)</f>
        <v>0</v>
      </c>
      <c r="W39" s="31" t="n">
        <f aca="false">COUNTIF(W10,$A$35)</f>
        <v>0</v>
      </c>
      <c r="X39" s="31" t="n">
        <f aca="false">COUNTIF(X10,$A$35)</f>
        <v>0</v>
      </c>
      <c r="Y39" s="31" t="n">
        <f aca="false">COUNTIF(Y10,$A$35)</f>
        <v>0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3:A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209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 t="s">
        <v>173</v>
      </c>
      <c r="C4" s="34" t="s">
        <v>173</v>
      </c>
      <c r="D4" s="34" t="s">
        <v>173</v>
      </c>
      <c r="E4" s="34" t="s">
        <v>173</v>
      </c>
      <c r="F4" s="34" t="s">
        <v>173</v>
      </c>
      <c r="G4" s="34" t="s">
        <v>173</v>
      </c>
      <c r="H4" s="34" t="s">
        <v>147</v>
      </c>
      <c r="I4" s="34" t="s">
        <v>147</v>
      </c>
      <c r="J4" s="34" t="s">
        <v>147</v>
      </c>
      <c r="K4" s="34" t="s">
        <v>147</v>
      </c>
      <c r="L4" s="34" t="s">
        <v>147</v>
      </c>
      <c r="M4" s="34" t="s">
        <v>147</v>
      </c>
      <c r="N4" s="34" t="s">
        <v>147</v>
      </c>
      <c r="O4" s="34" t="s">
        <v>147</v>
      </c>
      <c r="P4" s="34" t="s">
        <v>167</v>
      </c>
      <c r="Q4" s="34" t="s">
        <v>167</v>
      </c>
      <c r="R4" s="34" t="s">
        <v>173</v>
      </c>
      <c r="S4" s="34" t="s">
        <v>173</v>
      </c>
      <c r="T4" s="34" t="s">
        <v>173</v>
      </c>
      <c r="U4" s="34" t="s">
        <v>173</v>
      </c>
      <c r="V4" s="34" t="s">
        <v>173</v>
      </c>
      <c r="W4" s="34" t="s">
        <v>173</v>
      </c>
      <c r="X4" s="34" t="s">
        <v>173</v>
      </c>
      <c r="Y4" s="34" t="s">
        <v>173</v>
      </c>
      <c r="Z4" s="31"/>
    </row>
    <row r="5" customFormat="false" ht="21" hidden="false" customHeight="true" outlineLevel="0" collapsed="false">
      <c r="A5" s="33" t="s">
        <v>66</v>
      </c>
      <c r="B5" s="34" t="s">
        <v>173</v>
      </c>
      <c r="C5" s="34" t="s">
        <v>173</v>
      </c>
      <c r="D5" s="34" t="s">
        <v>173</v>
      </c>
      <c r="E5" s="34" t="s">
        <v>173</v>
      </c>
      <c r="F5" s="34" t="s">
        <v>173</v>
      </c>
      <c r="G5" s="34" t="s">
        <v>173</v>
      </c>
      <c r="H5" s="34" t="s">
        <v>167</v>
      </c>
      <c r="I5" s="34" t="s">
        <v>167</v>
      </c>
      <c r="J5" s="34" t="s">
        <v>167</v>
      </c>
      <c r="K5" s="34" t="s">
        <v>167</v>
      </c>
      <c r="L5" s="34" t="s">
        <v>167</v>
      </c>
      <c r="M5" s="34" t="s">
        <v>167</v>
      </c>
      <c r="N5" s="34" t="s">
        <v>167</v>
      </c>
      <c r="O5" s="34" t="s">
        <v>173</v>
      </c>
      <c r="P5" s="34" t="s">
        <v>173</v>
      </c>
      <c r="Q5" s="34" t="s">
        <v>173</v>
      </c>
      <c r="R5" s="34" t="s">
        <v>173</v>
      </c>
      <c r="S5" s="34" t="s">
        <v>173</v>
      </c>
      <c r="T5" s="34" t="s">
        <v>173</v>
      </c>
      <c r="U5" s="34" t="s">
        <v>173</v>
      </c>
      <c r="V5" s="34" t="s">
        <v>173</v>
      </c>
      <c r="W5" s="34" t="s">
        <v>173</v>
      </c>
      <c r="X5" s="34" t="s">
        <v>173</v>
      </c>
      <c r="Y5" s="34" t="s">
        <v>173</v>
      </c>
      <c r="Z5" s="31"/>
    </row>
    <row r="6" customFormat="false" ht="21" hidden="false" customHeight="true" outlineLevel="0" collapsed="false">
      <c r="A6" s="33" t="s">
        <v>73</v>
      </c>
      <c r="B6" s="34" t="s">
        <v>173</v>
      </c>
      <c r="C6" s="34" t="s">
        <v>173</v>
      </c>
      <c r="D6" s="34" t="s">
        <v>173</v>
      </c>
      <c r="E6" s="34" t="s">
        <v>173</v>
      </c>
      <c r="F6" s="34" t="s">
        <v>173</v>
      </c>
      <c r="G6" s="34" t="s">
        <v>173</v>
      </c>
      <c r="H6" s="34" t="s">
        <v>147</v>
      </c>
      <c r="I6" s="34" t="s">
        <v>147</v>
      </c>
      <c r="J6" s="34" t="s">
        <v>147</v>
      </c>
      <c r="K6" s="34" t="s">
        <v>147</v>
      </c>
      <c r="L6" s="34" t="s">
        <v>147</v>
      </c>
      <c r="M6" s="34" t="s">
        <v>147</v>
      </c>
      <c r="N6" s="34" t="s">
        <v>147</v>
      </c>
      <c r="O6" s="34" t="s">
        <v>147</v>
      </c>
      <c r="P6" s="34" t="s">
        <v>167</v>
      </c>
      <c r="Q6" s="34" t="s">
        <v>167</v>
      </c>
      <c r="R6" s="34" t="s">
        <v>167</v>
      </c>
      <c r="S6" s="34" t="s">
        <v>167</v>
      </c>
      <c r="T6" s="34" t="s">
        <v>167</v>
      </c>
      <c r="U6" s="34" t="s">
        <v>167</v>
      </c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 t="s">
        <v>173</v>
      </c>
      <c r="C7" s="34" t="s">
        <v>173</v>
      </c>
      <c r="D7" s="34" t="s">
        <v>173</v>
      </c>
      <c r="E7" s="34" t="s">
        <v>173</v>
      </c>
      <c r="F7" s="34" t="s">
        <v>173</v>
      </c>
      <c r="G7" s="34" t="s">
        <v>173</v>
      </c>
      <c r="H7" s="34" t="s">
        <v>167</v>
      </c>
      <c r="I7" s="34" t="s">
        <v>167</v>
      </c>
      <c r="J7" s="34" t="s">
        <v>167</v>
      </c>
      <c r="K7" s="34" t="s">
        <v>167</v>
      </c>
      <c r="L7" s="34" t="s">
        <v>167</v>
      </c>
      <c r="M7" s="34" t="s">
        <v>167</v>
      </c>
      <c r="N7" s="34" t="s">
        <v>167</v>
      </c>
      <c r="O7" s="34" t="s">
        <v>173</v>
      </c>
      <c r="P7" s="34" t="s">
        <v>173</v>
      </c>
      <c r="Q7" s="34" t="s">
        <v>173</v>
      </c>
      <c r="R7" s="34" t="s">
        <v>173</v>
      </c>
      <c r="S7" s="34" t="s">
        <v>173</v>
      </c>
      <c r="T7" s="34" t="s">
        <v>173</v>
      </c>
      <c r="U7" s="34" t="s">
        <v>173</v>
      </c>
      <c r="V7" s="34" t="s">
        <v>173</v>
      </c>
      <c r="W7" s="34" t="s">
        <v>173</v>
      </c>
      <c r="X7" s="34" t="s">
        <v>173</v>
      </c>
      <c r="Y7" s="34" t="s">
        <v>173</v>
      </c>
      <c r="Z7" s="31"/>
    </row>
    <row r="8" customFormat="false" ht="21" hidden="false" customHeight="true" outlineLevel="0" collapsed="false">
      <c r="A8" s="33" t="s">
        <v>76</v>
      </c>
      <c r="B8" s="34" t="s">
        <v>173</v>
      </c>
      <c r="C8" s="34" t="s">
        <v>173</v>
      </c>
      <c r="D8" s="34" t="s">
        <v>173</v>
      </c>
      <c r="E8" s="34" t="s">
        <v>173</v>
      </c>
      <c r="F8" s="34" t="s">
        <v>173</v>
      </c>
      <c r="G8" s="34" t="s">
        <v>173</v>
      </c>
      <c r="H8" s="38"/>
      <c r="I8" s="38"/>
      <c r="J8" s="38"/>
      <c r="K8" s="38"/>
      <c r="L8" s="34" t="s">
        <v>167</v>
      </c>
      <c r="M8" s="34" t="s">
        <v>167</v>
      </c>
      <c r="N8" s="34" t="s">
        <v>167</v>
      </c>
      <c r="O8" s="34" t="s">
        <v>167</v>
      </c>
      <c r="P8" s="34" t="s">
        <v>167</v>
      </c>
      <c r="Q8" s="34" t="s">
        <v>167</v>
      </c>
      <c r="R8" s="34" t="s">
        <v>173</v>
      </c>
      <c r="S8" s="34" t="s">
        <v>173</v>
      </c>
      <c r="T8" s="34" t="s">
        <v>173</v>
      </c>
      <c r="U8" s="34" t="s">
        <v>173</v>
      </c>
      <c r="V8" s="34" t="s">
        <v>173</v>
      </c>
      <c r="W8" s="34" t="s">
        <v>173</v>
      </c>
      <c r="X8" s="34" t="s">
        <v>173</v>
      </c>
      <c r="Y8" s="34" t="s">
        <v>173</v>
      </c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14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22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1</v>
      </c>
      <c r="I22" s="31" t="n">
        <f aca="false">COUNTIF(I4,$A$22)</f>
        <v>1</v>
      </c>
      <c r="J22" s="31" t="n">
        <f aca="false">COUNTIF(J4,$A$22)</f>
        <v>1</v>
      </c>
      <c r="K22" s="31" t="n">
        <f aca="false">COUNTIF(K4,$A$22)</f>
        <v>1</v>
      </c>
      <c r="L22" s="31" t="n">
        <f aca="false">COUNTIF(L4,$A$22)</f>
        <v>1</v>
      </c>
      <c r="M22" s="31" t="n">
        <f aca="false">COUNTIF(M4,$A$22)</f>
        <v>1</v>
      </c>
      <c r="N22" s="31" t="n">
        <f aca="false">COUNTIF(N4,$A$22)</f>
        <v>1</v>
      </c>
      <c r="O22" s="31" t="n">
        <f aca="false">COUNTIF(O4,$A$22)</f>
        <v>1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1</v>
      </c>
      <c r="I24" s="31" t="n">
        <f aca="false">COUNTIF(I6,$A$22)</f>
        <v>1</v>
      </c>
      <c r="J24" s="31" t="n">
        <f aca="false">COUNTIF(J6,$A$22)</f>
        <v>1</v>
      </c>
      <c r="K24" s="31" t="n">
        <f aca="false">COUNTIF(K6,$A$22)</f>
        <v>1</v>
      </c>
      <c r="L24" s="31" t="n">
        <f aca="false">COUNTIF(L6,$A$22)</f>
        <v>1</v>
      </c>
      <c r="M24" s="31" t="n">
        <f aca="false">COUNTIF(M6,$A$22)</f>
        <v>1</v>
      </c>
      <c r="N24" s="31" t="n">
        <f aca="false">COUNTIF(N6,$A$22)</f>
        <v>1</v>
      </c>
      <c r="O24" s="31" t="n">
        <f aca="false">COUNTIF(O6,$A$22)</f>
        <v>1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1</v>
      </c>
      <c r="Q29" s="31" t="n">
        <f aca="false">COUNTIF(Q4,$A$29)</f>
        <v>1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1</v>
      </c>
      <c r="I30" s="31" t="n">
        <f aca="false">COUNTIF(I5,$A$29)</f>
        <v>1</v>
      </c>
      <c r="J30" s="31" t="n">
        <f aca="false">COUNTIF(J5,$A$29)</f>
        <v>1</v>
      </c>
      <c r="K30" s="31" t="n">
        <f aca="false">COUNTIF(K5,$A$29)</f>
        <v>1</v>
      </c>
      <c r="L30" s="31" t="n">
        <f aca="false">COUNTIF(L5,$A$29)</f>
        <v>1</v>
      </c>
      <c r="M30" s="31" t="n">
        <f aca="false">COUNTIF(M5,$A$29)</f>
        <v>1</v>
      </c>
      <c r="N30" s="31" t="n">
        <f aca="false">COUNTIF(N5,$A$29)</f>
        <v>1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1</v>
      </c>
      <c r="Q31" s="31" t="n">
        <f aca="false">COUNTIF(Q6,$A$29)</f>
        <v>1</v>
      </c>
      <c r="R31" s="31" t="n">
        <f aca="false">COUNTIF(R6,$A$29)</f>
        <v>1</v>
      </c>
      <c r="S31" s="31" t="n">
        <f aca="false">COUNTIF(S6,$A$29)</f>
        <v>1</v>
      </c>
      <c r="T31" s="31" t="n">
        <f aca="false">COUNTIF(T6,$A$29)</f>
        <v>1</v>
      </c>
      <c r="U31" s="31" t="n">
        <f aca="false">COUNTIF(U6,$A$29)</f>
        <v>1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1</v>
      </c>
      <c r="I32" s="31" t="n">
        <f aca="false">COUNTIF(I7,$A$29)</f>
        <v>1</v>
      </c>
      <c r="J32" s="31" t="n">
        <f aca="false">COUNTIF(J7,$A$29)</f>
        <v>1</v>
      </c>
      <c r="K32" s="31" t="n">
        <f aca="false">COUNTIF(K7,$A$29)</f>
        <v>1</v>
      </c>
      <c r="L32" s="31" t="n">
        <f aca="false">COUNTIF(L7,$A$29)</f>
        <v>1</v>
      </c>
      <c r="M32" s="31" t="n">
        <f aca="false">COUNTIF(M7,$A$29)</f>
        <v>1</v>
      </c>
      <c r="N32" s="31" t="n">
        <f aca="false">COUNTIF(N7,$A$29)</f>
        <v>1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1</v>
      </c>
      <c r="M33" s="31" t="n">
        <f aca="false">COUNTIF(M8,$A$29)</f>
        <v>1</v>
      </c>
      <c r="N33" s="31" t="n">
        <f aca="false">COUNTIF(N8,$A$29)</f>
        <v>1</v>
      </c>
      <c r="O33" s="31" t="n">
        <f aca="false">COUNTIF(O8,$A$29)</f>
        <v>1</v>
      </c>
      <c r="P33" s="31" t="n">
        <f aca="false">COUNTIF(P8,$A$29)</f>
        <v>1</v>
      </c>
      <c r="Q33" s="31" t="n">
        <f aca="false">COUNTIF(Q8,$A$29)</f>
        <v>1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1</v>
      </c>
      <c r="C35" s="31" t="n">
        <f aca="false">COUNTIF(C4,$A$35)</f>
        <v>1</v>
      </c>
      <c r="D35" s="31" t="n">
        <f aca="false">COUNTIF(D4,$A$35)</f>
        <v>1</v>
      </c>
      <c r="E35" s="31" t="n">
        <f aca="false">COUNTIF(E4,$A$35)</f>
        <v>1</v>
      </c>
      <c r="F35" s="31" t="n">
        <f aca="false">COUNTIF(F4,$A$35)</f>
        <v>1</v>
      </c>
      <c r="G35" s="31" t="n">
        <f aca="false">COUNTIF(G4,$A$35)</f>
        <v>1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1</v>
      </c>
      <c r="S35" s="31" t="n">
        <f aca="false">COUNTIF(S4,$A$35)</f>
        <v>1</v>
      </c>
      <c r="T35" s="31" t="n">
        <f aca="false">COUNTIF(T4,$A$35)</f>
        <v>1</v>
      </c>
      <c r="U35" s="31" t="n">
        <f aca="false">COUNTIF(U4,$A$35)</f>
        <v>1</v>
      </c>
      <c r="V35" s="31" t="n">
        <f aca="false">COUNTIF(V4,$A$35)</f>
        <v>1</v>
      </c>
      <c r="W35" s="31" t="n">
        <f aca="false">COUNTIF(W4,$A$35)</f>
        <v>1</v>
      </c>
      <c r="X35" s="31" t="n">
        <f aca="false">COUNTIF(X4,$A$35)</f>
        <v>1</v>
      </c>
      <c r="Y35" s="31" t="n">
        <f aca="false">COUNTIF(Y4,$A$35)</f>
        <v>1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1</v>
      </c>
      <c r="C36" s="31" t="n">
        <f aca="false">COUNTIF(C5,$A$35)</f>
        <v>1</v>
      </c>
      <c r="D36" s="31" t="n">
        <f aca="false">COUNTIF(D5,$A$35)</f>
        <v>1</v>
      </c>
      <c r="E36" s="31" t="n">
        <f aca="false">COUNTIF(E5,$A$35)</f>
        <v>1</v>
      </c>
      <c r="F36" s="31" t="n">
        <f aca="false">COUNTIF(F5,$A$35)</f>
        <v>1</v>
      </c>
      <c r="G36" s="31" t="n">
        <f aca="false">COUNTIF(G5,$A$35)</f>
        <v>1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1</v>
      </c>
      <c r="P36" s="31" t="n">
        <f aca="false">COUNTIF(P5,$A$35)</f>
        <v>1</v>
      </c>
      <c r="Q36" s="31" t="n">
        <f aca="false">COUNTIF(Q5,$A$35)</f>
        <v>1</v>
      </c>
      <c r="R36" s="31" t="n">
        <f aca="false">COUNTIF(R5,$A$35)</f>
        <v>1</v>
      </c>
      <c r="S36" s="31" t="n">
        <f aca="false">COUNTIF(S5,$A$35)</f>
        <v>1</v>
      </c>
      <c r="T36" s="31" t="n">
        <f aca="false">COUNTIF(T5,$A$35)</f>
        <v>1</v>
      </c>
      <c r="U36" s="31" t="n">
        <f aca="false">COUNTIF(U5,$A$35)</f>
        <v>1</v>
      </c>
      <c r="V36" s="31" t="n">
        <f aca="false">COUNTIF(V5,$A$35)</f>
        <v>1</v>
      </c>
      <c r="W36" s="31" t="n">
        <f aca="false">COUNTIF(W5,$A$35)</f>
        <v>1</v>
      </c>
      <c r="X36" s="31" t="n">
        <f aca="false">COUNTIF(X5,$A$35)</f>
        <v>1</v>
      </c>
      <c r="Y36" s="31" t="n">
        <f aca="false">COUNTIF(Y5,$A$35)</f>
        <v>1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1</v>
      </c>
      <c r="C37" s="31" t="n">
        <f aca="false">COUNTIF(C6,$A$35)</f>
        <v>1</v>
      </c>
      <c r="D37" s="31" t="n">
        <f aca="false">COUNTIF(D6,$A$35)</f>
        <v>1</v>
      </c>
      <c r="E37" s="31" t="n">
        <f aca="false">COUNTIF(E6,$A$35)</f>
        <v>1</v>
      </c>
      <c r="F37" s="31" t="n">
        <f aca="false">COUNTIF(F6,$A$35)</f>
        <v>1</v>
      </c>
      <c r="G37" s="31" t="n">
        <f aca="false">COUNTIF(G6,$A$35)</f>
        <v>1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1</v>
      </c>
      <c r="C38" s="31" t="n">
        <f aca="false">COUNTIF(C7,$A$35)</f>
        <v>1</v>
      </c>
      <c r="D38" s="31" t="n">
        <f aca="false">COUNTIF(D7,$A$35)</f>
        <v>1</v>
      </c>
      <c r="E38" s="31" t="n">
        <f aca="false">COUNTIF(E7,$A$35)</f>
        <v>1</v>
      </c>
      <c r="F38" s="31" t="n">
        <f aca="false">COUNTIF(F7,$A$35)</f>
        <v>1</v>
      </c>
      <c r="G38" s="31" t="n">
        <f aca="false">COUNTIF(G7,$A$35)</f>
        <v>1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1</v>
      </c>
      <c r="P38" s="31" t="n">
        <f aca="false">COUNTIF(P7,$A$35)</f>
        <v>1</v>
      </c>
      <c r="Q38" s="31" t="n">
        <f aca="false">COUNTIF(Q7,$A$35)</f>
        <v>1</v>
      </c>
      <c r="R38" s="31" t="n">
        <f aca="false">COUNTIF(R7,$A$35)</f>
        <v>1</v>
      </c>
      <c r="S38" s="31" t="n">
        <f aca="false">COUNTIF(S7,$A$35)</f>
        <v>1</v>
      </c>
      <c r="T38" s="31" t="n">
        <f aca="false">COUNTIF(T7,$A$35)</f>
        <v>1</v>
      </c>
      <c r="U38" s="31" t="n">
        <f aca="false">COUNTIF(U7,$A$35)</f>
        <v>1</v>
      </c>
      <c r="V38" s="31" t="n">
        <f aca="false">COUNTIF(V7,$A$35)</f>
        <v>1</v>
      </c>
      <c r="W38" s="31" t="n">
        <f aca="false">COUNTIF(W7,$A$35)</f>
        <v>1</v>
      </c>
      <c r="X38" s="31" t="n">
        <f aca="false">COUNTIF(X7,$A$35)</f>
        <v>1</v>
      </c>
      <c r="Y38" s="31" t="n">
        <f aca="false">COUNTIF(Y7,$A$35)</f>
        <v>1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1</v>
      </c>
      <c r="C39" s="31" t="n">
        <f aca="false">COUNTIF(C8,$A$35)</f>
        <v>1</v>
      </c>
      <c r="D39" s="31" t="n">
        <f aca="false">COUNTIF(D8,$A$35)</f>
        <v>1</v>
      </c>
      <c r="E39" s="31" t="n">
        <f aca="false">COUNTIF(E8,$A$35)</f>
        <v>1</v>
      </c>
      <c r="F39" s="31" t="n">
        <f aca="false">COUNTIF(F8,$A$35)</f>
        <v>1</v>
      </c>
      <c r="G39" s="31" t="n">
        <f aca="false">COUNTIF(G8,$A$35)</f>
        <v>1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1</v>
      </c>
      <c r="S39" s="31" t="n">
        <f aca="false">COUNTIF(S8,$A$35)</f>
        <v>1</v>
      </c>
      <c r="T39" s="31" t="n">
        <f aca="false">COUNTIF(T8,$A$35)</f>
        <v>1</v>
      </c>
      <c r="U39" s="31" t="n">
        <f aca="false">COUNTIF(U8,$A$35)</f>
        <v>1</v>
      </c>
      <c r="V39" s="31" t="n">
        <f aca="false">COUNTIF(V8,$A$35)</f>
        <v>1</v>
      </c>
      <c r="W39" s="31" t="n">
        <f aca="false">COUNTIF(W8,$A$35)</f>
        <v>1</v>
      </c>
      <c r="X39" s="31" t="n">
        <f aca="false">COUNTIF(X8,$A$35)</f>
        <v>1</v>
      </c>
      <c r="Y39" s="31" t="n">
        <f aca="false">COUNTIF(Y8,$A$35)</f>
        <v>1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115" t="s">
        <v>173</v>
      </c>
      <c r="C4" s="115" t="s">
        <v>173</v>
      </c>
      <c r="D4" s="115" t="s">
        <v>173</v>
      </c>
      <c r="E4" s="115" t="s">
        <v>173</v>
      </c>
      <c r="F4" s="115" t="s">
        <v>173</v>
      </c>
      <c r="G4" s="115" t="s">
        <v>173</v>
      </c>
      <c r="H4" s="115" t="s">
        <v>173</v>
      </c>
      <c r="I4" s="115" t="s">
        <v>173</v>
      </c>
      <c r="J4" s="115" t="s">
        <v>173</v>
      </c>
      <c r="K4" s="115" t="s">
        <v>173</v>
      </c>
      <c r="L4" s="115" t="s">
        <v>173</v>
      </c>
      <c r="M4" s="115" t="s">
        <v>173</v>
      </c>
      <c r="N4" s="116" t="s">
        <v>167</v>
      </c>
      <c r="O4" s="116" t="s">
        <v>167</v>
      </c>
      <c r="P4" s="115" t="s">
        <v>173</v>
      </c>
      <c r="Q4" s="115" t="s">
        <v>173</v>
      </c>
      <c r="R4" s="115" t="s">
        <v>173</v>
      </c>
      <c r="S4" s="115" t="s">
        <v>173</v>
      </c>
      <c r="T4" s="115" t="s">
        <v>173</v>
      </c>
      <c r="U4" s="115" t="s">
        <v>173</v>
      </c>
      <c r="V4" s="115" t="s">
        <v>173</v>
      </c>
      <c r="W4" s="115" t="s">
        <v>173</v>
      </c>
      <c r="X4" s="115" t="s">
        <v>173</v>
      </c>
      <c r="Y4" s="115" t="s">
        <v>173</v>
      </c>
      <c r="Z4" s="31"/>
    </row>
    <row r="5" customFormat="false" ht="21" hidden="false" customHeight="true" outlineLevel="0" collapsed="false">
      <c r="A5" s="33" t="s">
        <v>66</v>
      </c>
      <c r="B5" s="115" t="s">
        <v>173</v>
      </c>
      <c r="C5" s="115" t="s">
        <v>173</v>
      </c>
      <c r="D5" s="115" t="s">
        <v>173</v>
      </c>
      <c r="E5" s="115" t="s">
        <v>173</v>
      </c>
      <c r="F5" s="115" t="s">
        <v>173</v>
      </c>
      <c r="G5" s="115" t="s">
        <v>173</v>
      </c>
      <c r="H5" s="116" t="s">
        <v>167</v>
      </c>
      <c r="I5" s="116" t="s">
        <v>167</v>
      </c>
      <c r="J5" s="116" t="s">
        <v>167</v>
      </c>
      <c r="K5" s="116" t="s">
        <v>167</v>
      </c>
      <c r="L5" s="115" t="s">
        <v>173</v>
      </c>
      <c r="M5" s="115" t="s">
        <v>173</v>
      </c>
      <c r="N5" s="117" t="s">
        <v>147</v>
      </c>
      <c r="O5" s="117" t="s">
        <v>147</v>
      </c>
      <c r="P5" s="117" t="s">
        <v>147</v>
      </c>
      <c r="Q5" s="117" t="s">
        <v>147</v>
      </c>
      <c r="R5" s="117" t="s">
        <v>147</v>
      </c>
      <c r="S5" s="117" t="s">
        <v>147</v>
      </c>
      <c r="T5" s="116" t="s">
        <v>167</v>
      </c>
      <c r="U5" s="116" t="s">
        <v>167</v>
      </c>
      <c r="V5" s="115" t="s">
        <v>173</v>
      </c>
      <c r="W5" s="115" t="s">
        <v>173</v>
      </c>
      <c r="X5" s="115" t="s">
        <v>173</v>
      </c>
      <c r="Y5" s="115" t="s">
        <v>173</v>
      </c>
      <c r="Z5" s="31"/>
    </row>
    <row r="6" customFormat="false" ht="21" hidden="false" customHeight="true" outlineLevel="0" collapsed="false">
      <c r="A6" s="33" t="s">
        <v>73</v>
      </c>
      <c r="B6" s="115" t="s">
        <v>173</v>
      </c>
      <c r="C6" s="115" t="s">
        <v>173</v>
      </c>
      <c r="D6" s="115" t="s">
        <v>173</v>
      </c>
      <c r="E6" s="115" t="s">
        <v>173</v>
      </c>
      <c r="F6" s="115" t="s">
        <v>173</v>
      </c>
      <c r="G6" s="115" t="s">
        <v>173</v>
      </c>
      <c r="H6" s="115" t="s">
        <v>173</v>
      </c>
      <c r="I6" s="115" t="s">
        <v>173</v>
      </c>
      <c r="J6" s="115" t="s">
        <v>173</v>
      </c>
      <c r="K6" s="115" t="s">
        <v>173</v>
      </c>
      <c r="L6" s="115" t="s">
        <v>173</v>
      </c>
      <c r="M6" s="115" t="s">
        <v>173</v>
      </c>
      <c r="N6" s="116" t="s">
        <v>167</v>
      </c>
      <c r="O6" s="116" t="s">
        <v>167</v>
      </c>
      <c r="P6" s="115" t="s">
        <v>173</v>
      </c>
      <c r="Q6" s="115" t="s">
        <v>173</v>
      </c>
      <c r="R6" s="115" t="s">
        <v>173</v>
      </c>
      <c r="S6" s="115" t="s">
        <v>173</v>
      </c>
      <c r="T6" s="117" t="s">
        <v>147</v>
      </c>
      <c r="U6" s="117" t="s">
        <v>147</v>
      </c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115" t="s">
        <v>173</v>
      </c>
      <c r="C7" s="115" t="s">
        <v>173</v>
      </c>
      <c r="D7" s="115" t="s">
        <v>173</v>
      </c>
      <c r="E7" s="115" t="s">
        <v>173</v>
      </c>
      <c r="F7" s="115" t="s">
        <v>173</v>
      </c>
      <c r="G7" s="115" t="s">
        <v>173</v>
      </c>
      <c r="H7" s="116" t="s">
        <v>167</v>
      </c>
      <c r="I7" s="116" t="s">
        <v>167</v>
      </c>
      <c r="J7" s="116" t="s">
        <v>167</v>
      </c>
      <c r="K7" s="116" t="s">
        <v>167</v>
      </c>
      <c r="L7" s="115" t="s">
        <v>173</v>
      </c>
      <c r="M7" s="115" t="s">
        <v>173</v>
      </c>
      <c r="N7" s="117" t="s">
        <v>147</v>
      </c>
      <c r="O7" s="117" t="s">
        <v>147</v>
      </c>
      <c r="P7" s="117" t="s">
        <v>147</v>
      </c>
      <c r="Q7" s="117" t="s">
        <v>147</v>
      </c>
      <c r="R7" s="117" t="s">
        <v>147</v>
      </c>
      <c r="S7" s="117" t="s">
        <v>147</v>
      </c>
      <c r="T7" s="116" t="s">
        <v>167</v>
      </c>
      <c r="U7" s="116" t="s">
        <v>167</v>
      </c>
      <c r="V7" s="115" t="s">
        <v>173</v>
      </c>
      <c r="W7" s="115" t="s">
        <v>173</v>
      </c>
      <c r="X7" s="115" t="s">
        <v>173</v>
      </c>
      <c r="Y7" s="115" t="s">
        <v>173</v>
      </c>
      <c r="Z7" s="31"/>
    </row>
    <row r="8" customFormat="false" ht="21" hidden="false" customHeight="true" outlineLevel="0" collapsed="false">
      <c r="A8" s="33" t="s">
        <v>76</v>
      </c>
      <c r="B8" s="115" t="s">
        <v>173</v>
      </c>
      <c r="C8" s="115" t="s">
        <v>173</v>
      </c>
      <c r="D8" s="115" t="s">
        <v>173</v>
      </c>
      <c r="E8" s="115" t="s">
        <v>173</v>
      </c>
      <c r="F8" s="115" t="s">
        <v>173</v>
      </c>
      <c r="G8" s="115" t="s">
        <v>173</v>
      </c>
      <c r="H8" s="38"/>
      <c r="I8" s="38"/>
      <c r="J8" s="38"/>
      <c r="K8" s="38"/>
      <c r="L8" s="117" t="s">
        <v>147</v>
      </c>
      <c r="M8" s="117" t="s">
        <v>147</v>
      </c>
      <c r="N8" s="115" t="s">
        <v>173</v>
      </c>
      <c r="O8" s="115" t="s">
        <v>173</v>
      </c>
      <c r="P8" s="115" t="s">
        <v>173</v>
      </c>
      <c r="Q8" s="115" t="s">
        <v>173</v>
      </c>
      <c r="R8" s="115" t="s">
        <v>173</v>
      </c>
      <c r="S8" s="115" t="s">
        <v>173</v>
      </c>
      <c r="T8" s="115" t="s">
        <v>173</v>
      </c>
      <c r="U8" s="115" t="s">
        <v>173</v>
      </c>
      <c r="V8" s="115" t="s">
        <v>173</v>
      </c>
      <c r="W8" s="115" t="s">
        <v>173</v>
      </c>
      <c r="X8" s="115" t="s">
        <v>173</v>
      </c>
      <c r="Y8" s="115" t="s">
        <v>173</v>
      </c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8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16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1</v>
      </c>
      <c r="O23" s="31" t="n">
        <f aca="false">COUNTIF(O5,$A$22)</f>
        <v>1</v>
      </c>
      <c r="P23" s="31" t="n">
        <f aca="false">COUNTIF(P5,$A$22)</f>
        <v>1</v>
      </c>
      <c r="Q23" s="31" t="n">
        <f aca="false">COUNTIF(Q5,$A$22)</f>
        <v>1</v>
      </c>
      <c r="R23" s="31" t="n">
        <f aca="false">COUNTIF(R5,$A$22)</f>
        <v>1</v>
      </c>
      <c r="S23" s="31" t="n">
        <f aca="false">COUNTIF(S5,$A$22)</f>
        <v>1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1</v>
      </c>
      <c r="U24" s="31" t="n">
        <f aca="false">COUNTIF(U6,$A$22)</f>
        <v>1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1</v>
      </c>
      <c r="O25" s="31" t="n">
        <f aca="false">COUNTIF(O7,$A$22)</f>
        <v>1</v>
      </c>
      <c r="P25" s="31" t="n">
        <f aca="false">COUNTIF(P7,$A$22)</f>
        <v>1</v>
      </c>
      <c r="Q25" s="31" t="n">
        <f aca="false">COUNTIF(Q7,$A$22)</f>
        <v>1</v>
      </c>
      <c r="R25" s="31" t="n">
        <f aca="false">COUNTIF(R7,$A$22)</f>
        <v>1</v>
      </c>
      <c r="S25" s="31" t="n">
        <f aca="false">COUNTIF(S7,$A$22)</f>
        <v>1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1</v>
      </c>
      <c r="M26" s="31" t="n">
        <f aca="false">COUNTIF(M8,$A$22)</f>
        <v>1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1</v>
      </c>
      <c r="O29" s="31" t="n">
        <f aca="false">COUNTIF(O4,$A$29)</f>
        <v>1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1</v>
      </c>
      <c r="I30" s="31" t="n">
        <f aca="false">COUNTIF(I5,$A$29)</f>
        <v>1</v>
      </c>
      <c r="J30" s="31" t="n">
        <f aca="false">COUNTIF(J5,$A$29)</f>
        <v>1</v>
      </c>
      <c r="K30" s="31" t="n">
        <f aca="false">COUNTIF(K5,$A$29)</f>
        <v>1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0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1</v>
      </c>
      <c r="U30" s="31" t="n">
        <f aca="false">COUNTIF(U5,$A$29)</f>
        <v>1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1</v>
      </c>
      <c r="O31" s="31" t="n">
        <f aca="false">COUNTIF(O6,$A$29)</f>
        <v>1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1</v>
      </c>
      <c r="I32" s="31" t="n">
        <f aca="false">COUNTIF(I7,$A$29)</f>
        <v>1</v>
      </c>
      <c r="J32" s="31" t="n">
        <f aca="false">COUNTIF(J7,$A$29)</f>
        <v>1</v>
      </c>
      <c r="K32" s="31" t="n">
        <f aca="false">COUNTIF(K7,$A$29)</f>
        <v>1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1</v>
      </c>
      <c r="U32" s="31" t="n">
        <f aca="false">COUNTIF(U7,$A$29)</f>
        <v>1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1</v>
      </c>
      <c r="C35" s="31" t="n">
        <f aca="false">COUNTIF(C4,$A$35)</f>
        <v>1</v>
      </c>
      <c r="D35" s="31" t="n">
        <f aca="false">COUNTIF(D4,$A$35)</f>
        <v>1</v>
      </c>
      <c r="E35" s="31" t="n">
        <f aca="false">COUNTIF(E4,$A$35)</f>
        <v>1</v>
      </c>
      <c r="F35" s="31" t="n">
        <f aca="false">COUNTIF(F4,$A$35)</f>
        <v>1</v>
      </c>
      <c r="G35" s="31" t="n">
        <f aca="false">COUNTIF(G4,$A$35)</f>
        <v>1</v>
      </c>
      <c r="H35" s="31" t="n">
        <f aca="false">COUNTIF(H4,$A$35)</f>
        <v>1</v>
      </c>
      <c r="I35" s="31" t="n">
        <f aca="false">COUNTIF(I4,$A$35)</f>
        <v>1</v>
      </c>
      <c r="J35" s="31" t="n">
        <f aca="false">COUNTIF(J4,$A$35)</f>
        <v>1</v>
      </c>
      <c r="K35" s="31" t="n">
        <f aca="false">COUNTIF(K4,$A$35)</f>
        <v>1</v>
      </c>
      <c r="L35" s="31" t="n">
        <f aca="false">COUNTIF(L4,$A$35)</f>
        <v>1</v>
      </c>
      <c r="M35" s="31" t="n">
        <f aca="false">COUNTIF(M4,$A$35)</f>
        <v>1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1</v>
      </c>
      <c r="Q35" s="31" t="n">
        <f aca="false">COUNTIF(Q4,$A$35)</f>
        <v>1</v>
      </c>
      <c r="R35" s="31" t="n">
        <f aca="false">COUNTIF(R4,$A$35)</f>
        <v>1</v>
      </c>
      <c r="S35" s="31" t="n">
        <f aca="false">COUNTIF(S4,$A$35)</f>
        <v>1</v>
      </c>
      <c r="T35" s="31" t="n">
        <f aca="false">COUNTIF(T4,$A$35)</f>
        <v>1</v>
      </c>
      <c r="U35" s="31" t="n">
        <f aca="false">COUNTIF(U4,$A$35)</f>
        <v>1</v>
      </c>
      <c r="V35" s="31" t="n">
        <f aca="false">COUNTIF(V4,$A$35)</f>
        <v>1</v>
      </c>
      <c r="W35" s="31" t="n">
        <f aca="false">COUNTIF(W4,$A$35)</f>
        <v>1</v>
      </c>
      <c r="X35" s="31" t="n">
        <f aca="false">COUNTIF(X4,$A$35)</f>
        <v>1</v>
      </c>
      <c r="Y35" s="31" t="n">
        <f aca="false">COUNTIF(Y4,$A$35)</f>
        <v>1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1</v>
      </c>
      <c r="C36" s="31" t="n">
        <f aca="false">COUNTIF(C5,$A$35)</f>
        <v>1</v>
      </c>
      <c r="D36" s="31" t="n">
        <f aca="false">COUNTIF(D5,$A$35)</f>
        <v>1</v>
      </c>
      <c r="E36" s="31" t="n">
        <f aca="false">COUNTIF(E5,$A$35)</f>
        <v>1</v>
      </c>
      <c r="F36" s="31" t="n">
        <f aca="false">COUNTIF(F5,$A$35)</f>
        <v>1</v>
      </c>
      <c r="G36" s="31" t="n">
        <f aca="false">COUNTIF(G5,$A$35)</f>
        <v>1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1</v>
      </c>
      <c r="M36" s="31" t="n">
        <f aca="false">COUNTIF(M5,$A$35)</f>
        <v>1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1</v>
      </c>
      <c r="W36" s="31" t="n">
        <f aca="false">COUNTIF(W5,$A$35)</f>
        <v>1</v>
      </c>
      <c r="X36" s="31" t="n">
        <f aca="false">COUNTIF(X5,$A$35)</f>
        <v>1</v>
      </c>
      <c r="Y36" s="31" t="n">
        <f aca="false">COUNTIF(Y5,$A$35)</f>
        <v>1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1</v>
      </c>
      <c r="C37" s="31" t="n">
        <f aca="false">COUNTIF(C6,$A$35)</f>
        <v>1</v>
      </c>
      <c r="D37" s="31" t="n">
        <f aca="false">COUNTIF(D6,$A$35)</f>
        <v>1</v>
      </c>
      <c r="E37" s="31" t="n">
        <f aca="false">COUNTIF(E6,$A$35)</f>
        <v>1</v>
      </c>
      <c r="F37" s="31" t="n">
        <f aca="false">COUNTIF(F6,$A$35)</f>
        <v>1</v>
      </c>
      <c r="G37" s="31" t="n">
        <f aca="false">COUNTIF(G6,$A$35)</f>
        <v>1</v>
      </c>
      <c r="H37" s="31" t="n">
        <f aca="false">COUNTIF(H6,$A$35)</f>
        <v>1</v>
      </c>
      <c r="I37" s="31" t="n">
        <f aca="false">COUNTIF(I6,$A$35)</f>
        <v>1</v>
      </c>
      <c r="J37" s="31" t="n">
        <f aca="false">COUNTIF(J6,$A$35)</f>
        <v>1</v>
      </c>
      <c r="K37" s="31" t="n">
        <f aca="false">COUNTIF(K6,$A$35)</f>
        <v>1</v>
      </c>
      <c r="L37" s="31" t="n">
        <f aca="false">COUNTIF(L6,$A$35)</f>
        <v>1</v>
      </c>
      <c r="M37" s="31" t="n">
        <f aca="false">COUNTIF(M6,$A$35)</f>
        <v>1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1</v>
      </c>
      <c r="Q37" s="31" t="n">
        <f aca="false">COUNTIF(Q6,$A$35)</f>
        <v>1</v>
      </c>
      <c r="R37" s="31" t="n">
        <f aca="false">COUNTIF(R6,$A$35)</f>
        <v>1</v>
      </c>
      <c r="S37" s="31" t="n">
        <f aca="false">COUNTIF(S6,$A$35)</f>
        <v>1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1</v>
      </c>
      <c r="C38" s="31" t="n">
        <f aca="false">COUNTIF(C7,$A$35)</f>
        <v>1</v>
      </c>
      <c r="D38" s="31" t="n">
        <f aca="false">COUNTIF(D7,$A$35)</f>
        <v>1</v>
      </c>
      <c r="E38" s="31" t="n">
        <f aca="false">COUNTIF(E7,$A$35)</f>
        <v>1</v>
      </c>
      <c r="F38" s="31" t="n">
        <f aca="false">COUNTIF(F7,$A$35)</f>
        <v>1</v>
      </c>
      <c r="G38" s="31" t="n">
        <f aca="false">COUNTIF(G7,$A$35)</f>
        <v>1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1</v>
      </c>
      <c r="M38" s="31" t="n">
        <f aca="false">COUNTIF(M7,$A$35)</f>
        <v>1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1</v>
      </c>
      <c r="W38" s="31" t="n">
        <f aca="false">COUNTIF(W7,$A$35)</f>
        <v>1</v>
      </c>
      <c r="X38" s="31" t="n">
        <f aca="false">COUNTIF(X7,$A$35)</f>
        <v>1</v>
      </c>
      <c r="Y38" s="31" t="n">
        <f aca="false">COUNTIF(Y7,$A$35)</f>
        <v>1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1</v>
      </c>
      <c r="C39" s="31" t="n">
        <f aca="false">COUNTIF(C8,$A$35)</f>
        <v>1</v>
      </c>
      <c r="D39" s="31" t="n">
        <f aca="false">COUNTIF(D8,$A$35)</f>
        <v>1</v>
      </c>
      <c r="E39" s="31" t="n">
        <f aca="false">COUNTIF(E8,$A$35)</f>
        <v>1</v>
      </c>
      <c r="F39" s="31" t="n">
        <f aca="false">COUNTIF(F8,$A$35)</f>
        <v>1</v>
      </c>
      <c r="G39" s="31" t="n">
        <f aca="false">COUNTIF(G8,$A$35)</f>
        <v>1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1</v>
      </c>
      <c r="O39" s="31" t="n">
        <f aca="false">COUNTIF(O8,$A$35)</f>
        <v>1</v>
      </c>
      <c r="P39" s="31" t="n">
        <f aca="false">COUNTIF(P8,$A$35)</f>
        <v>1</v>
      </c>
      <c r="Q39" s="31" t="n">
        <f aca="false">COUNTIF(Q8,$A$35)</f>
        <v>1</v>
      </c>
      <c r="R39" s="31" t="n">
        <f aca="false">COUNTIF(R8,$A$35)</f>
        <v>1</v>
      </c>
      <c r="S39" s="31" t="n">
        <f aca="false">COUNTIF(S8,$A$35)</f>
        <v>1</v>
      </c>
      <c r="T39" s="31" t="n">
        <f aca="false">COUNTIF(T8,$A$35)</f>
        <v>1</v>
      </c>
      <c r="U39" s="31" t="n">
        <f aca="false">COUNTIF(U8,$A$35)</f>
        <v>1</v>
      </c>
      <c r="V39" s="31" t="n">
        <f aca="false">COUNTIF(V8,$A$35)</f>
        <v>1</v>
      </c>
      <c r="W39" s="31" t="n">
        <f aca="false">COUNTIF(W8,$A$35)</f>
        <v>1</v>
      </c>
      <c r="X39" s="31" t="n">
        <f aca="false">COUNTIF(X8,$A$35)</f>
        <v>1</v>
      </c>
      <c r="Y39" s="31" t="n">
        <f aca="false">COUNTIF(Y8,$A$35)</f>
        <v>1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209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 t="s">
        <v>167</v>
      </c>
      <c r="E4" s="34" t="s">
        <v>167</v>
      </c>
      <c r="F4" s="34" t="s">
        <v>167</v>
      </c>
      <c r="G4" s="38"/>
      <c r="H4" s="38"/>
      <c r="I4" s="38"/>
      <c r="J4" s="38"/>
      <c r="K4" s="38"/>
      <c r="L4" s="34" t="s">
        <v>216</v>
      </c>
      <c r="M4" s="34" t="s">
        <v>216</v>
      </c>
      <c r="N4" s="34" t="s">
        <v>216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8"/>
      <c r="E5" s="38"/>
      <c r="F5" s="38"/>
      <c r="G5" s="38"/>
      <c r="H5" s="34" t="s">
        <v>216</v>
      </c>
      <c r="I5" s="34" t="s">
        <v>216</v>
      </c>
      <c r="J5" s="34" t="s">
        <v>216</v>
      </c>
      <c r="K5" s="34" t="s">
        <v>216</v>
      </c>
      <c r="L5" s="34" t="s">
        <v>167</v>
      </c>
      <c r="M5" s="34" t="s">
        <v>167</v>
      </c>
      <c r="N5" s="34" t="s">
        <v>167</v>
      </c>
      <c r="O5" s="34" t="s">
        <v>167</v>
      </c>
      <c r="P5" s="34" t="s">
        <v>167</v>
      </c>
      <c r="Q5" s="34" t="s">
        <v>167</v>
      </c>
      <c r="R5" s="34" t="s">
        <v>167</v>
      </c>
      <c r="S5" s="34" t="s">
        <v>167</v>
      </c>
      <c r="T5" s="38"/>
      <c r="U5" s="38"/>
      <c r="V5" s="38"/>
      <c r="W5" s="38"/>
      <c r="X5" s="38"/>
      <c r="Y5" s="38"/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 t="s">
        <v>167</v>
      </c>
      <c r="E6" s="34" t="s">
        <v>167</v>
      </c>
      <c r="F6" s="34" t="s">
        <v>167</v>
      </c>
      <c r="G6" s="38"/>
      <c r="H6" s="38"/>
      <c r="I6" s="38"/>
      <c r="J6" s="38"/>
      <c r="K6" s="38"/>
      <c r="L6" s="34" t="s">
        <v>216</v>
      </c>
      <c r="M6" s="34" t="s">
        <v>216</v>
      </c>
      <c r="N6" s="34" t="s">
        <v>216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8"/>
      <c r="E7" s="38"/>
      <c r="F7" s="38"/>
      <c r="G7" s="38"/>
      <c r="H7" s="34" t="s">
        <v>216</v>
      </c>
      <c r="I7" s="34" t="s">
        <v>216</v>
      </c>
      <c r="J7" s="34" t="s">
        <v>216</v>
      </c>
      <c r="K7" s="34" t="s">
        <v>216</v>
      </c>
      <c r="L7" s="34" t="s">
        <v>167</v>
      </c>
      <c r="M7" s="34" t="s">
        <v>167</v>
      </c>
      <c r="N7" s="34" t="s">
        <v>167</v>
      </c>
      <c r="O7" s="34" t="s">
        <v>167</v>
      </c>
      <c r="P7" s="34" t="s">
        <v>167</v>
      </c>
      <c r="Q7" s="34" t="s">
        <v>167</v>
      </c>
      <c r="R7" s="34" t="s">
        <v>167</v>
      </c>
      <c r="S7" s="34" t="s">
        <v>167</v>
      </c>
      <c r="T7" s="38"/>
      <c r="U7" s="38"/>
      <c r="V7" s="38"/>
      <c r="W7" s="38"/>
      <c r="X7" s="38"/>
      <c r="Y7" s="38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 t="s">
        <v>167</v>
      </c>
      <c r="E8" s="34" t="s">
        <v>167</v>
      </c>
      <c r="F8" s="34" t="s">
        <v>167</v>
      </c>
      <c r="G8" s="34" t="s">
        <v>167</v>
      </c>
      <c r="H8" s="38"/>
      <c r="I8" s="38"/>
      <c r="J8" s="38"/>
      <c r="K8" s="38"/>
      <c r="L8" s="34" t="s">
        <v>216</v>
      </c>
      <c r="M8" s="34" t="s">
        <v>216</v>
      </c>
      <c r="N8" s="38"/>
      <c r="O8" s="38"/>
      <c r="P8" s="34" t="s">
        <v>167</v>
      </c>
      <c r="Q8" s="34" t="s">
        <v>167</v>
      </c>
      <c r="R8" s="34" t="s">
        <v>167</v>
      </c>
      <c r="S8" s="38"/>
      <c r="T8" s="38"/>
      <c r="U8" s="38"/>
      <c r="V8" s="38"/>
      <c r="W8" s="38"/>
      <c r="X8" s="38"/>
      <c r="Y8" s="38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14.5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22.5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1</v>
      </c>
      <c r="M22" s="31" t="n">
        <f aca="false">COUNTIF(M4,$A$22)</f>
        <v>1</v>
      </c>
      <c r="N22" s="31" t="n">
        <f aca="false">COUNTIF(N4,$A$22)</f>
        <v>1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1</v>
      </c>
      <c r="I23" s="31" t="n">
        <f aca="false">COUNTIF(I5,$A$22)</f>
        <v>1</v>
      </c>
      <c r="J23" s="31" t="n">
        <f aca="false">COUNTIF(J5,$A$22)</f>
        <v>1</v>
      </c>
      <c r="K23" s="31" t="n">
        <f aca="false">COUNTIF(K5,$A$22)</f>
        <v>1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1</v>
      </c>
      <c r="M24" s="31" t="n">
        <f aca="false">COUNTIF(M6,$A$22)</f>
        <v>1</v>
      </c>
      <c r="N24" s="31" t="n">
        <f aca="false">COUNTIF(N6,$A$22)</f>
        <v>1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1</v>
      </c>
      <c r="I25" s="31" t="n">
        <f aca="false">COUNTIF(I7,$A$22)</f>
        <v>1</v>
      </c>
      <c r="J25" s="31" t="n">
        <f aca="false">COUNTIF(J7,$A$22)</f>
        <v>1</v>
      </c>
      <c r="K25" s="31" t="n">
        <f aca="false">COUNTIF(K7,$A$22)</f>
        <v>1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1</v>
      </c>
      <c r="M26" s="31" t="n">
        <f aca="false">COUNTIF(M8,$A$22)</f>
        <v>1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1</v>
      </c>
      <c r="E29" s="31" t="n">
        <f aca="false">COUNTIF(E4,$A$29)</f>
        <v>1</v>
      </c>
      <c r="F29" s="31" t="n">
        <f aca="false">COUNTIF(F4,$A$29)</f>
        <v>1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1</v>
      </c>
      <c r="M30" s="31" t="n">
        <f aca="false">COUNTIF(M5,$A$29)</f>
        <v>1</v>
      </c>
      <c r="N30" s="31" t="n">
        <f aca="false">COUNTIF(N5,$A$29)</f>
        <v>1</v>
      </c>
      <c r="O30" s="31" t="n">
        <f aca="false">COUNTIF(O5,$A$29)</f>
        <v>1</v>
      </c>
      <c r="P30" s="31" t="n">
        <f aca="false">COUNTIF(P5,$A$29)</f>
        <v>1</v>
      </c>
      <c r="Q30" s="31" t="n">
        <f aca="false">COUNTIF(Q5,$A$29)</f>
        <v>1</v>
      </c>
      <c r="R30" s="31" t="n">
        <f aca="false">COUNTIF(R5,$A$29)</f>
        <v>1</v>
      </c>
      <c r="S30" s="31" t="n">
        <f aca="false">COUNTIF(S5,$A$29)</f>
        <v>1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1</v>
      </c>
      <c r="E31" s="31" t="n">
        <f aca="false">COUNTIF(E6,$A$29)</f>
        <v>1</v>
      </c>
      <c r="F31" s="31" t="n">
        <f aca="false">COUNTIF(F6,$A$29)</f>
        <v>1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1</v>
      </c>
      <c r="M32" s="31" t="n">
        <f aca="false">COUNTIF(M7,$A$29)</f>
        <v>1</v>
      </c>
      <c r="N32" s="31" t="n">
        <f aca="false">COUNTIF(N7,$A$29)</f>
        <v>1</v>
      </c>
      <c r="O32" s="31" t="n">
        <f aca="false">COUNTIF(O7,$A$29)</f>
        <v>1</v>
      </c>
      <c r="P32" s="31" t="n">
        <f aca="false">COUNTIF(P7,$A$29)</f>
        <v>1</v>
      </c>
      <c r="Q32" s="31" t="n">
        <f aca="false">COUNTIF(Q7,$A$29)</f>
        <v>1</v>
      </c>
      <c r="R32" s="31" t="n">
        <f aca="false">COUNTIF(R7,$A$29)</f>
        <v>1</v>
      </c>
      <c r="S32" s="31" t="n">
        <f aca="false">COUNTIF(S7,$A$29)</f>
        <v>1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1</v>
      </c>
      <c r="E33" s="31" t="n">
        <f aca="false">COUNTIF(E8,$A$29)</f>
        <v>1</v>
      </c>
      <c r="F33" s="31" t="n">
        <f aca="false">COUNTIF(F8,$A$29)</f>
        <v>1</v>
      </c>
      <c r="G33" s="31" t="n">
        <f aca="false">COUNTIF(G8,$A$29)</f>
        <v>1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1</v>
      </c>
      <c r="Q33" s="31" t="n">
        <f aca="false">COUNTIF(Q8,$A$29)</f>
        <v>1</v>
      </c>
      <c r="R33" s="31" t="n">
        <f aca="false">COUNTIF(R8,$A$29)</f>
        <v>1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11</v>
      </c>
      <c r="N3" s="32" t="s">
        <v>12</v>
      </c>
      <c r="O3" s="32" t="s">
        <v>13</v>
      </c>
      <c r="P3" s="32" t="s">
        <v>14</v>
      </c>
      <c r="Q3" s="32" t="s">
        <v>15</v>
      </c>
      <c r="R3" s="32" t="s">
        <v>16</v>
      </c>
      <c r="S3" s="32" t="s">
        <v>17</v>
      </c>
      <c r="T3" s="32" t="s">
        <v>18</v>
      </c>
      <c r="U3" s="32" t="s">
        <v>19</v>
      </c>
      <c r="V3" s="32" t="s">
        <v>20</v>
      </c>
      <c r="W3" s="32" t="s">
        <v>21</v>
      </c>
      <c r="X3" s="32" t="s">
        <v>22</v>
      </c>
      <c r="Y3" s="32" t="s">
        <v>23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/>
      <c r="E4" s="34"/>
      <c r="F4" s="34"/>
      <c r="G4" s="34" t="s">
        <v>173</v>
      </c>
      <c r="H4" s="34" t="s">
        <v>173</v>
      </c>
      <c r="I4" s="34" t="s">
        <v>173</v>
      </c>
      <c r="J4" s="34" t="s">
        <v>173</v>
      </c>
      <c r="K4" s="34" t="s">
        <v>173</v>
      </c>
      <c r="L4" s="34" t="s">
        <v>173</v>
      </c>
      <c r="M4" s="34" t="s">
        <v>147</v>
      </c>
      <c r="N4" s="34" t="s">
        <v>147</v>
      </c>
      <c r="O4" s="34" t="s">
        <v>147</v>
      </c>
      <c r="P4" s="34" t="s">
        <v>147</v>
      </c>
      <c r="Q4" s="34" t="s">
        <v>147</v>
      </c>
      <c r="R4" s="34" t="s">
        <v>147</v>
      </c>
      <c r="S4" s="34" t="s">
        <v>173</v>
      </c>
      <c r="T4" s="34" t="s">
        <v>173</v>
      </c>
      <c r="U4" s="34" t="s">
        <v>173</v>
      </c>
      <c r="V4" s="34" t="s">
        <v>173</v>
      </c>
      <c r="W4" s="34" t="s">
        <v>173</v>
      </c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4"/>
      <c r="E5" s="34"/>
      <c r="F5" s="34"/>
      <c r="G5" s="34" t="s">
        <v>167</v>
      </c>
      <c r="H5" s="34" t="s">
        <v>167</v>
      </c>
      <c r="I5" s="34" t="s">
        <v>167</v>
      </c>
      <c r="J5" s="34" t="s">
        <v>167</v>
      </c>
      <c r="K5" s="34" t="s">
        <v>167</v>
      </c>
      <c r="L5" s="34" t="s">
        <v>167</v>
      </c>
      <c r="M5" s="34" t="s">
        <v>167</v>
      </c>
      <c r="N5" s="34" t="s">
        <v>167</v>
      </c>
      <c r="O5" s="34" t="s">
        <v>167</v>
      </c>
      <c r="P5" s="34" t="s">
        <v>167</v>
      </c>
      <c r="Q5" s="34" t="s">
        <v>167</v>
      </c>
      <c r="R5" s="34" t="s">
        <v>167</v>
      </c>
      <c r="S5" s="34" t="s">
        <v>167</v>
      </c>
      <c r="T5" s="34"/>
      <c r="U5" s="34"/>
      <c r="V5" s="34"/>
      <c r="W5" s="34"/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/>
      <c r="E6" s="34"/>
      <c r="F6" s="34"/>
      <c r="G6" s="34" t="s">
        <v>173</v>
      </c>
      <c r="H6" s="34" t="s">
        <v>173</v>
      </c>
      <c r="I6" s="34" t="s">
        <v>173</v>
      </c>
      <c r="J6" s="34" t="s">
        <v>173</v>
      </c>
      <c r="K6" s="34" t="s">
        <v>173</v>
      </c>
      <c r="L6" s="34" t="s">
        <v>173</v>
      </c>
      <c r="M6" s="34" t="s">
        <v>147</v>
      </c>
      <c r="N6" s="34" t="s">
        <v>147</v>
      </c>
      <c r="O6" s="34" t="s">
        <v>147</v>
      </c>
      <c r="P6" s="34" t="s">
        <v>147</v>
      </c>
      <c r="Q6" s="34" t="s">
        <v>147</v>
      </c>
      <c r="R6" s="34" t="s">
        <v>147</v>
      </c>
      <c r="S6" s="34" t="s">
        <v>173</v>
      </c>
      <c r="T6" s="34" t="s">
        <v>173</v>
      </c>
      <c r="U6" s="34" t="s">
        <v>173</v>
      </c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4"/>
      <c r="E7" s="34"/>
      <c r="F7" s="34"/>
      <c r="G7" s="34" t="s">
        <v>167</v>
      </c>
      <c r="H7" s="34" t="s">
        <v>167</v>
      </c>
      <c r="I7" s="34" t="s">
        <v>167</v>
      </c>
      <c r="J7" s="34" t="s">
        <v>167</v>
      </c>
      <c r="K7" s="34" t="s">
        <v>167</v>
      </c>
      <c r="L7" s="34" t="s">
        <v>167</v>
      </c>
      <c r="M7" s="34" t="s">
        <v>167</v>
      </c>
      <c r="N7" s="34" t="s">
        <v>167</v>
      </c>
      <c r="O7" s="34" t="s">
        <v>167</v>
      </c>
      <c r="P7" s="34" t="s">
        <v>167</v>
      </c>
      <c r="Q7" s="34" t="s">
        <v>167</v>
      </c>
      <c r="R7" s="34" t="s">
        <v>167</v>
      </c>
      <c r="S7" s="34" t="s">
        <v>167</v>
      </c>
      <c r="T7" s="34"/>
      <c r="U7" s="34"/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/>
      <c r="E8" s="34"/>
      <c r="F8" s="34"/>
      <c r="G8" s="34"/>
      <c r="H8" s="38"/>
      <c r="I8" s="38"/>
      <c r="J8" s="38"/>
      <c r="K8" s="38"/>
      <c r="L8" s="34" t="s">
        <v>173</v>
      </c>
      <c r="M8" s="34" t="s">
        <v>173</v>
      </c>
      <c r="N8" s="34" t="s">
        <v>173</v>
      </c>
      <c r="O8" s="34" t="s">
        <v>173</v>
      </c>
      <c r="P8" s="34" t="s">
        <v>173</v>
      </c>
      <c r="Q8" s="34" t="s">
        <v>173</v>
      </c>
      <c r="R8" s="34" t="s">
        <v>173</v>
      </c>
      <c r="S8" s="33"/>
      <c r="T8" s="33"/>
      <c r="U8" s="33"/>
      <c r="V8" s="33"/>
      <c r="W8" s="33"/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179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6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13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SUM(M7:M19)</f>
        <v>19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1</v>
      </c>
      <c r="N22" s="31" t="n">
        <f aca="false">COUNTIF(N4,$A$22)</f>
        <v>1</v>
      </c>
      <c r="O22" s="31" t="n">
        <f aca="false">COUNTIF(O4,$A$22)</f>
        <v>1</v>
      </c>
      <c r="P22" s="31" t="n">
        <f aca="false">COUNTIF(P4,$A$22)</f>
        <v>1</v>
      </c>
      <c r="Q22" s="31" t="n">
        <f aca="false">COUNTIF(Q4,$A$22)</f>
        <v>1</v>
      </c>
      <c r="R22" s="31" t="n">
        <f aca="false">COUNTIF(R4,$A$22)</f>
        <v>1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1</v>
      </c>
      <c r="N24" s="31" t="n">
        <f aca="false">COUNTIF(N6,$A$22)</f>
        <v>1</v>
      </c>
      <c r="O24" s="31" t="n">
        <f aca="false">COUNTIF(O6,$A$22)</f>
        <v>1</v>
      </c>
      <c r="P24" s="31" t="n">
        <f aca="false">COUNTIF(P6,$A$22)</f>
        <v>1</v>
      </c>
      <c r="Q24" s="31" t="n">
        <f aca="false">COUNTIF(Q6,$A$22)</f>
        <v>1</v>
      </c>
      <c r="R24" s="31" t="n">
        <f aca="false">COUNTIF(R6,$A$22)</f>
        <v>1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0</v>
      </c>
      <c r="E26" s="31" t="n">
        <f aca="false">COUNTIF(E8,$A$22)</f>
        <v>0</v>
      </c>
      <c r="F26" s="31" t="n">
        <f aca="false">COUNTIF(F8,$A$22)</f>
        <v>0</v>
      </c>
      <c r="G26" s="31" t="n">
        <f aca="false">COUNTIF(G8,$A$22)</f>
        <v>0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0</v>
      </c>
      <c r="M26" s="31" t="n">
        <f aca="false">COUNTIF(M8,$A$22)</f>
        <v>0</v>
      </c>
      <c r="N26" s="31" t="n">
        <f aca="false">COUNTIF(N8,$A$22)</f>
        <v>0</v>
      </c>
      <c r="O26" s="31" t="n">
        <f aca="false">COUNTIF(O8,$A$22)</f>
        <v>0</v>
      </c>
      <c r="P26" s="31" t="n">
        <f aca="false">COUNTIF(P8,$A$22)</f>
        <v>0</v>
      </c>
      <c r="Q26" s="31" t="n">
        <f aca="false">COUNTIF(Q8,$A$22)</f>
        <v>0</v>
      </c>
      <c r="R26" s="31" t="n">
        <f aca="false">COUNTIF(R8,$A$22)</f>
        <v>0</v>
      </c>
      <c r="S26" s="31" t="n">
        <f aca="false">COUNTIF(S8,$A$22)</f>
        <v>0</v>
      </c>
      <c r="T26" s="31" t="n">
        <f aca="false">COUNTIF(T8,$A$22)</f>
        <v>0</v>
      </c>
      <c r="U26" s="31" t="n">
        <f aca="false">COUNTIF(U8,$A$22)</f>
        <v>0</v>
      </c>
      <c r="V26" s="31" t="n">
        <f aca="false">COUNTIF(V8,$A$22)</f>
        <v>0</v>
      </c>
      <c r="W26" s="31" t="n">
        <f aca="false">COUNTIF(W8,$A$22)</f>
        <v>0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1</v>
      </c>
      <c r="H30" s="31" t="n">
        <f aca="false">COUNTIF(H5,$A$29)</f>
        <v>1</v>
      </c>
      <c r="I30" s="31" t="n">
        <f aca="false">COUNTIF(I5,$A$29)</f>
        <v>1</v>
      </c>
      <c r="J30" s="31" t="n">
        <f aca="false">COUNTIF(J5,$A$29)</f>
        <v>1</v>
      </c>
      <c r="K30" s="31" t="n">
        <f aca="false">COUNTIF(K5,$A$29)</f>
        <v>1</v>
      </c>
      <c r="L30" s="31" t="n">
        <f aca="false">COUNTIF(L5,$A$29)</f>
        <v>1</v>
      </c>
      <c r="M30" s="31" t="n">
        <f aca="false">COUNTIF(M5,$A$29)</f>
        <v>1</v>
      </c>
      <c r="N30" s="31" t="n">
        <f aca="false">COUNTIF(N5,$A$29)</f>
        <v>1</v>
      </c>
      <c r="O30" s="31" t="n">
        <f aca="false">COUNTIF(O5,$A$29)</f>
        <v>1</v>
      </c>
      <c r="P30" s="31" t="n">
        <f aca="false">COUNTIF(P5,$A$29)</f>
        <v>1</v>
      </c>
      <c r="Q30" s="31" t="n">
        <f aca="false">COUNTIF(Q5,$A$29)</f>
        <v>1</v>
      </c>
      <c r="R30" s="31" t="n">
        <f aca="false">COUNTIF(R5,$A$29)</f>
        <v>1</v>
      </c>
      <c r="S30" s="31" t="n">
        <f aca="false">COUNTIF(S5,$A$29)</f>
        <v>1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1</v>
      </c>
      <c r="H32" s="31" t="n">
        <f aca="false">COUNTIF(H7,$A$29)</f>
        <v>1</v>
      </c>
      <c r="I32" s="31" t="n">
        <f aca="false">COUNTIF(I7,$A$29)</f>
        <v>1</v>
      </c>
      <c r="J32" s="31" t="n">
        <f aca="false">COUNTIF(J7,$A$29)</f>
        <v>1</v>
      </c>
      <c r="K32" s="31" t="n">
        <f aca="false">COUNTIF(K7,$A$29)</f>
        <v>1</v>
      </c>
      <c r="L32" s="31" t="n">
        <f aca="false">COUNTIF(L7,$A$29)</f>
        <v>1</v>
      </c>
      <c r="M32" s="31" t="n">
        <f aca="false">COUNTIF(M7,$A$29)</f>
        <v>1</v>
      </c>
      <c r="N32" s="31" t="n">
        <f aca="false">COUNTIF(N7,$A$29)</f>
        <v>1</v>
      </c>
      <c r="O32" s="31" t="n">
        <f aca="false">COUNTIF(O7,$A$29)</f>
        <v>1</v>
      </c>
      <c r="P32" s="31" t="n">
        <f aca="false">COUNTIF(P7,$A$29)</f>
        <v>1</v>
      </c>
      <c r="Q32" s="31" t="n">
        <f aca="false">COUNTIF(Q7,$A$29)</f>
        <v>1</v>
      </c>
      <c r="R32" s="31" t="n">
        <f aca="false">COUNTIF(R7,$A$29)</f>
        <v>1</v>
      </c>
      <c r="S32" s="31" t="n">
        <f aca="false">COUNTIF(S7,$A$29)</f>
        <v>1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1</v>
      </c>
      <c r="H35" s="31" t="n">
        <f aca="false">COUNTIF(H4,$A$35)</f>
        <v>1</v>
      </c>
      <c r="I35" s="31" t="n">
        <f aca="false">COUNTIF(I4,$A$35)</f>
        <v>1</v>
      </c>
      <c r="J35" s="31" t="n">
        <f aca="false">COUNTIF(J4,$A$35)</f>
        <v>1</v>
      </c>
      <c r="K35" s="31" t="n">
        <f aca="false">COUNTIF(K4,$A$35)</f>
        <v>1</v>
      </c>
      <c r="L35" s="31" t="n">
        <f aca="false">COUNTIF(L4,$A$35)</f>
        <v>1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1</v>
      </c>
      <c r="T35" s="31" t="n">
        <f aca="false">COUNTIF(T4,$A$35)</f>
        <v>1</v>
      </c>
      <c r="U35" s="31" t="n">
        <f aca="false">COUNTIF(U4,$A$35)</f>
        <v>1</v>
      </c>
      <c r="V35" s="31" t="n">
        <f aca="false">COUNTIF(V4,$A$35)</f>
        <v>1</v>
      </c>
      <c r="W35" s="31" t="n">
        <f aca="false">COUNTIF(W4,$A$35)</f>
        <v>1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1</v>
      </c>
      <c r="H37" s="31" t="n">
        <f aca="false">COUNTIF(H6,$A$35)</f>
        <v>1</v>
      </c>
      <c r="I37" s="31" t="n">
        <f aca="false">COUNTIF(I6,$A$35)</f>
        <v>1</v>
      </c>
      <c r="J37" s="31" t="n">
        <f aca="false">COUNTIF(J6,$A$35)</f>
        <v>1</v>
      </c>
      <c r="K37" s="31" t="n">
        <f aca="false">COUNTIF(K6,$A$35)</f>
        <v>1</v>
      </c>
      <c r="L37" s="31" t="n">
        <f aca="false">COUNTIF(L6,$A$35)</f>
        <v>1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1</v>
      </c>
      <c r="T37" s="31" t="n">
        <f aca="false">COUNTIF(T6,$A$35)</f>
        <v>1</v>
      </c>
      <c r="U37" s="31" t="n">
        <f aca="false">COUNTIF(U6,$A$35)</f>
        <v>1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1</v>
      </c>
      <c r="M39" s="31" t="n">
        <f aca="false">COUNTIF(M8,$A$35)</f>
        <v>1</v>
      </c>
      <c r="N39" s="31" t="n">
        <f aca="false">COUNTIF(N8,$A$35)</f>
        <v>1</v>
      </c>
      <c r="O39" s="31" t="n">
        <f aca="false">COUNTIF(O8,$A$35)</f>
        <v>1</v>
      </c>
      <c r="P39" s="31" t="n">
        <f aca="false">COUNTIF(P8,$A$35)</f>
        <v>1</v>
      </c>
      <c r="Q39" s="31" t="n">
        <f aca="false">COUNTIF(Q8,$A$35)</f>
        <v>1</v>
      </c>
      <c r="R39" s="31" t="n">
        <f aca="false">COUNTIF(R8,$A$35)</f>
        <v>1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40625" defaultRowHeight="15" customHeight="true" zeroHeight="false" outlineLevelRow="0" outlineLevelCol="0"/>
  <cols>
    <col collapsed="false" customWidth="true" hidden="false" outlineLevel="0" max="1" min="1" style="0" width="25.33"/>
    <col collapsed="false" customWidth="true" hidden="false" outlineLevel="0" max="6" min="2" style="0" width="6"/>
    <col collapsed="false" customWidth="true" hidden="false" outlineLevel="0" max="25" min="7" style="0" width="7.33"/>
    <col collapsed="false" customWidth="true" hidden="false" outlineLevel="0" max="26" min="26" style="0" width="11"/>
  </cols>
  <sheetData>
    <row r="1" customFormat="false" ht="21" hidden="false" customHeight="true" outlineLevel="0" collapsed="false">
      <c r="A1" s="31" t="s">
        <v>222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" hidden="false" customHeight="true" outlineLevel="0" collapsed="false">
      <c r="A2" s="31" t="s">
        <v>223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21" hidden="false" customHeight="true" outlineLevel="0" collapsed="false">
      <c r="A3" s="31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  <c r="M3" s="32" t="s">
        <v>193</v>
      </c>
      <c r="N3" s="32" t="s">
        <v>194</v>
      </c>
      <c r="O3" s="32" t="s">
        <v>195</v>
      </c>
      <c r="P3" s="32" t="s">
        <v>196</v>
      </c>
      <c r="Q3" s="32" t="s">
        <v>197</v>
      </c>
      <c r="R3" s="32" t="s">
        <v>198</v>
      </c>
      <c r="S3" s="32" t="s">
        <v>199</v>
      </c>
      <c r="T3" s="32" t="s">
        <v>200</v>
      </c>
      <c r="U3" s="32" t="s">
        <v>201</v>
      </c>
      <c r="V3" s="32" t="s">
        <v>202</v>
      </c>
      <c r="W3" s="32" t="s">
        <v>203</v>
      </c>
      <c r="X3" s="32" t="s">
        <v>204</v>
      </c>
      <c r="Y3" s="32" t="s">
        <v>205</v>
      </c>
      <c r="Z3" s="31"/>
    </row>
    <row r="4" customFormat="false" ht="21" hidden="false" customHeight="true" outlineLevel="0" collapsed="false">
      <c r="A4" s="33" t="s">
        <v>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1"/>
    </row>
    <row r="5" customFormat="false" ht="21" hidden="false" customHeight="true" outlineLevel="0" collapsed="false">
      <c r="A5" s="33" t="s">
        <v>66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1"/>
    </row>
    <row r="6" customFormat="false" ht="21" hidden="false" customHeight="true" outlineLevel="0" collapsed="false">
      <c r="A6" s="33" t="s">
        <v>73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8"/>
      <c r="W6" s="38"/>
      <c r="X6" s="38"/>
      <c r="Y6" s="38"/>
      <c r="Z6" s="31"/>
    </row>
    <row r="7" customFormat="false" ht="21" hidden="false" customHeight="true" outlineLevel="0" collapsed="false">
      <c r="A7" s="33" t="s">
        <v>75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1"/>
    </row>
    <row r="8" customFormat="false" ht="21" hidden="false" customHeight="true" outlineLevel="0" collapsed="false">
      <c r="A8" s="33" t="s">
        <v>76</v>
      </c>
      <c r="B8" s="34"/>
      <c r="C8" s="34"/>
      <c r="D8" s="34" t="s">
        <v>147</v>
      </c>
      <c r="E8" s="34" t="s">
        <v>147</v>
      </c>
      <c r="F8" s="34" t="s">
        <v>147</v>
      </c>
      <c r="G8" s="34" t="s">
        <v>147</v>
      </c>
      <c r="H8" s="34"/>
      <c r="I8" s="34"/>
      <c r="J8" s="34"/>
      <c r="K8" s="34"/>
      <c r="L8" s="34" t="s">
        <v>147</v>
      </c>
      <c r="M8" s="34" t="s">
        <v>147</v>
      </c>
      <c r="N8" s="34" t="s">
        <v>147</v>
      </c>
      <c r="O8" s="34" t="s">
        <v>147</v>
      </c>
      <c r="P8" s="34" t="s">
        <v>147</v>
      </c>
      <c r="Q8" s="34" t="s">
        <v>147</v>
      </c>
      <c r="R8" s="34" t="s">
        <v>147</v>
      </c>
      <c r="S8" s="34" t="s">
        <v>147</v>
      </c>
      <c r="T8" s="34" t="s">
        <v>147</v>
      </c>
      <c r="U8" s="34" t="s">
        <v>147</v>
      </c>
      <c r="V8" s="34" t="s">
        <v>147</v>
      </c>
      <c r="W8" s="34" t="s">
        <v>147</v>
      </c>
      <c r="X8" s="34"/>
      <c r="Y8" s="34"/>
      <c r="Z8" s="31"/>
    </row>
    <row r="9" customFormat="false" ht="21" hidden="false" customHeight="true" outlineLevel="0" collapsed="false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21" hidden="false" customHeight="true" outlineLevel="0" collapsed="false">
      <c r="A10" s="31"/>
      <c r="B10" s="59" t="s">
        <v>176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T10" s="31"/>
      <c r="U10" s="31"/>
      <c r="V10" s="31"/>
      <c r="W10" s="31"/>
      <c r="X10" s="31"/>
      <c r="Y10" s="31"/>
      <c r="Z10" s="31"/>
    </row>
    <row r="11" customFormat="false" ht="21" hidden="false" customHeight="true" outlineLevel="0" collapsed="false">
      <c r="B11" s="60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T11" s="31"/>
      <c r="U11" s="31"/>
      <c r="V11" s="31"/>
      <c r="W11" s="31"/>
      <c r="X11" s="31"/>
      <c r="Y11" s="31"/>
      <c r="Z11" s="31"/>
    </row>
    <row r="12" customFormat="false" ht="21" hidden="false" customHeight="true" outlineLevel="0" collapsed="false">
      <c r="B12" s="60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T12" s="31"/>
      <c r="U12" s="31"/>
      <c r="V12" s="31"/>
      <c r="W12" s="31"/>
      <c r="X12" s="31"/>
      <c r="Y12" s="31"/>
      <c r="Z12" s="31"/>
    </row>
    <row r="13" customFormat="false" ht="21" hidden="false" customHeight="true" outlineLevel="0" collapsed="false">
      <c r="B13" s="61"/>
      <c r="C13" s="62" t="s">
        <v>208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T13" s="31"/>
      <c r="U13" s="31"/>
      <c r="V13" s="31"/>
      <c r="W13" s="31"/>
      <c r="X13" s="31"/>
      <c r="Y13" s="31"/>
      <c r="Z13" s="31"/>
    </row>
    <row r="14" customFormat="false" ht="21" hidden="false" customHeight="true" outlineLevel="0" collapsed="false">
      <c r="B14" s="63"/>
      <c r="C14" s="64" t="s">
        <v>180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V14" s="31"/>
      <c r="W14" s="31"/>
      <c r="X14" s="31"/>
      <c r="Y14" s="31"/>
      <c r="Z14" s="31"/>
    </row>
    <row r="15" customFormat="false" ht="21" hidden="false" customHeight="true" outlineLevel="0" collapsed="false">
      <c r="C15" s="31"/>
      <c r="D15" s="31"/>
      <c r="V15" s="31"/>
      <c r="W15" s="31"/>
      <c r="X15" s="31"/>
      <c r="Y15" s="31"/>
      <c r="Z15" s="31"/>
    </row>
    <row r="16" customFormat="false" ht="21" hidden="false" customHeight="true" outlineLevel="0" collapsed="false">
      <c r="A16" s="31"/>
      <c r="B16" s="59" t="s">
        <v>181</v>
      </c>
      <c r="C16" s="59"/>
      <c r="D16" s="59"/>
      <c r="E16" s="59"/>
      <c r="F16" s="59"/>
      <c r="G16" s="59"/>
      <c r="H16" s="59"/>
      <c r="I16" s="59"/>
      <c r="K16" s="59" t="s">
        <v>182</v>
      </c>
      <c r="L16" s="59"/>
      <c r="M16" s="59"/>
      <c r="V16" s="31"/>
      <c r="W16" s="31"/>
      <c r="X16" s="31"/>
      <c r="Y16" s="31"/>
      <c r="Z16" s="31"/>
    </row>
    <row r="17" customFormat="false" ht="21" hidden="false" customHeight="true" outlineLevel="0" collapsed="false">
      <c r="A17" s="31"/>
      <c r="B17" s="65" t="s">
        <v>183</v>
      </c>
      <c r="C17" s="66" t="s">
        <v>184</v>
      </c>
      <c r="D17" s="66"/>
      <c r="E17" s="66"/>
      <c r="F17" s="66"/>
      <c r="G17" s="66"/>
      <c r="H17" s="66"/>
      <c r="I17" s="66"/>
      <c r="J17" s="31"/>
      <c r="K17" s="61" t="s">
        <v>183</v>
      </c>
      <c r="L17" s="61"/>
      <c r="M17" s="62" t="s">
        <v>185</v>
      </c>
      <c r="N17" s="31"/>
      <c r="O17" s="31"/>
      <c r="P17" s="31"/>
      <c r="Q17" s="31"/>
      <c r="R17" s="31"/>
      <c r="V17" s="31"/>
      <c r="W17" s="31"/>
      <c r="X17" s="31"/>
      <c r="Y17" s="31"/>
      <c r="Z17" s="31"/>
    </row>
    <row r="18" customFormat="false" ht="21" hidden="false" customHeight="true" outlineLevel="0" collapsed="false">
      <c r="A18" s="31"/>
      <c r="B18" s="61" t="s">
        <v>147</v>
      </c>
      <c r="C18" s="62" t="s">
        <v>186</v>
      </c>
      <c r="D18" s="62"/>
      <c r="E18" s="62"/>
      <c r="F18" s="62"/>
      <c r="G18" s="62"/>
      <c r="H18" s="62"/>
      <c r="I18" s="62"/>
      <c r="J18" s="31"/>
      <c r="K18" s="61" t="s">
        <v>170</v>
      </c>
      <c r="L18" s="61"/>
      <c r="M18" s="62" t="n">
        <f aca="false">COUNTIF(B4:Y8,"Pref")/2</f>
        <v>8</v>
      </c>
      <c r="N18" s="31"/>
      <c r="O18" s="31"/>
      <c r="P18" s="31"/>
      <c r="Q18" s="31"/>
      <c r="R18" s="31"/>
      <c r="V18" s="31"/>
      <c r="W18" s="31"/>
      <c r="X18" s="31"/>
      <c r="Y18" s="31"/>
      <c r="Z18" s="31"/>
    </row>
    <row r="19" customFormat="false" ht="21" hidden="false" customHeight="true" outlineLevel="0" collapsed="false">
      <c r="A19" s="31"/>
      <c r="B19" s="61" t="s">
        <v>167</v>
      </c>
      <c r="C19" s="62" t="s">
        <v>187</v>
      </c>
      <c r="D19" s="62"/>
      <c r="E19" s="62"/>
      <c r="F19" s="62"/>
      <c r="G19" s="62"/>
      <c r="H19" s="62"/>
      <c r="I19" s="62"/>
      <c r="J19" s="31"/>
      <c r="K19" s="61" t="s">
        <v>188</v>
      </c>
      <c r="L19" s="61"/>
      <c r="M19" s="62" t="n">
        <f aca="false">COUNTIF(B4:Y8,"Yes")/2</f>
        <v>0</v>
      </c>
      <c r="N19" s="31"/>
      <c r="O19" s="31"/>
      <c r="P19" s="31"/>
      <c r="Q19" s="31"/>
      <c r="R19" s="31"/>
      <c r="V19" s="31"/>
      <c r="W19" s="31"/>
      <c r="X19" s="31"/>
      <c r="Y19" s="31"/>
      <c r="Z19" s="31"/>
    </row>
    <row r="20" customFormat="false" ht="21" hidden="false" customHeight="true" outlineLevel="0" collapsed="false">
      <c r="A20" s="31"/>
      <c r="B20" s="63" t="s">
        <v>173</v>
      </c>
      <c r="C20" s="64" t="s">
        <v>189</v>
      </c>
      <c r="D20" s="64"/>
      <c r="E20" s="64"/>
      <c r="F20" s="64"/>
      <c r="G20" s="64"/>
      <c r="H20" s="64"/>
      <c r="I20" s="64"/>
      <c r="J20" s="31"/>
      <c r="K20" s="63" t="s">
        <v>190</v>
      </c>
      <c r="L20" s="63"/>
      <c r="M20" s="64" t="n">
        <f aca="false">SUM(M18:M19)</f>
        <v>8</v>
      </c>
      <c r="N20" s="31"/>
      <c r="O20" s="31"/>
      <c r="P20" s="31"/>
      <c r="Q20" s="31"/>
      <c r="R20" s="31"/>
      <c r="V20" s="31"/>
      <c r="W20" s="31"/>
      <c r="X20" s="31"/>
      <c r="Y20" s="31"/>
      <c r="Z20" s="31"/>
    </row>
    <row r="21" customFormat="false" ht="21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V21" s="31"/>
      <c r="W21" s="31"/>
      <c r="X21" s="31"/>
      <c r="Y21" s="31"/>
      <c r="Z21" s="31"/>
    </row>
    <row r="22" customFormat="false" ht="21" hidden="false" customHeight="true" outlineLevel="0" collapsed="false">
      <c r="A22" s="31" t="s">
        <v>147</v>
      </c>
      <c r="B22" s="31" t="n">
        <f aca="false">COUNTIF(B4,$A$22)</f>
        <v>0</v>
      </c>
      <c r="C22" s="31" t="n">
        <f aca="false">COUNTIF(C4,$A$22)</f>
        <v>0</v>
      </c>
      <c r="D22" s="31" t="n">
        <f aca="false">COUNTIF(D4,$A$22)</f>
        <v>0</v>
      </c>
      <c r="E22" s="31" t="n">
        <f aca="false">COUNTIF(E4,$A$22)</f>
        <v>0</v>
      </c>
      <c r="F22" s="31" t="n">
        <f aca="false">COUNTIF(F4,$A$22)</f>
        <v>0</v>
      </c>
      <c r="G22" s="31" t="n">
        <f aca="false">COUNTIF(G4,$A$22)</f>
        <v>0</v>
      </c>
      <c r="H22" s="31" t="n">
        <f aca="false">COUNTIF(H4,$A$22)</f>
        <v>0</v>
      </c>
      <c r="I22" s="31" t="n">
        <f aca="false">COUNTIF(I4,$A$22)</f>
        <v>0</v>
      </c>
      <c r="J22" s="31" t="n">
        <f aca="false">COUNTIF(J4,$A$22)</f>
        <v>0</v>
      </c>
      <c r="K22" s="31" t="n">
        <f aca="false">COUNTIF(K4,$A$22)</f>
        <v>0</v>
      </c>
      <c r="L22" s="31" t="n">
        <f aca="false">COUNTIF(L4,$A$22)</f>
        <v>0</v>
      </c>
      <c r="M22" s="31" t="n">
        <f aca="false">COUNTIF(M4,$A$22)</f>
        <v>0</v>
      </c>
      <c r="N22" s="31" t="n">
        <f aca="false">COUNTIF(N4,$A$22)</f>
        <v>0</v>
      </c>
      <c r="O22" s="31" t="n">
        <f aca="false">COUNTIF(O4,$A$22)</f>
        <v>0</v>
      </c>
      <c r="P22" s="31" t="n">
        <f aca="false">COUNTIF(P4,$A$22)</f>
        <v>0</v>
      </c>
      <c r="Q22" s="31" t="n">
        <f aca="false">COUNTIF(Q4,$A$22)</f>
        <v>0</v>
      </c>
      <c r="R22" s="31" t="n">
        <f aca="false">COUNTIF(R4,$A$22)</f>
        <v>0</v>
      </c>
      <c r="S22" s="31" t="n">
        <f aca="false">COUNTIF(S4,$A$22)</f>
        <v>0</v>
      </c>
      <c r="T22" s="31" t="n">
        <f aca="false">COUNTIF(T4,$A$22)</f>
        <v>0</v>
      </c>
      <c r="U22" s="31" t="n">
        <f aca="false">COUNTIF(U4,$A$22)</f>
        <v>0</v>
      </c>
      <c r="V22" s="31" t="n">
        <f aca="false">COUNTIF(V4,$A$22)</f>
        <v>0</v>
      </c>
      <c r="W22" s="31" t="n">
        <f aca="false">COUNTIF(W4,$A$22)</f>
        <v>0</v>
      </c>
      <c r="X22" s="31" t="n">
        <f aca="false">COUNTIF(X4,$A$22)</f>
        <v>0</v>
      </c>
      <c r="Y22" s="31" t="n">
        <f aca="false">COUNTIF(Y4,$A$22)</f>
        <v>0</v>
      </c>
      <c r="Z22" s="31"/>
    </row>
    <row r="23" customFormat="false" ht="21" hidden="false" customHeight="true" outlineLevel="0" collapsed="false">
      <c r="A23" s="31"/>
      <c r="B23" s="31" t="n">
        <f aca="false">COUNTIF(B5,$A$22)</f>
        <v>0</v>
      </c>
      <c r="C23" s="31" t="n">
        <f aca="false">COUNTIF(C5,$A$22)</f>
        <v>0</v>
      </c>
      <c r="D23" s="31" t="n">
        <f aca="false">COUNTIF(D5,$A$22)</f>
        <v>0</v>
      </c>
      <c r="E23" s="31" t="n">
        <f aca="false">COUNTIF(E5,$A$22)</f>
        <v>0</v>
      </c>
      <c r="F23" s="31" t="n">
        <f aca="false">COUNTIF(F5,$A$22)</f>
        <v>0</v>
      </c>
      <c r="G23" s="31" t="n">
        <f aca="false">COUNTIF(G5,$A$22)</f>
        <v>0</v>
      </c>
      <c r="H23" s="31" t="n">
        <f aca="false">COUNTIF(H5,$A$22)</f>
        <v>0</v>
      </c>
      <c r="I23" s="31" t="n">
        <f aca="false">COUNTIF(I5,$A$22)</f>
        <v>0</v>
      </c>
      <c r="J23" s="31" t="n">
        <f aca="false">COUNTIF(J5,$A$22)</f>
        <v>0</v>
      </c>
      <c r="K23" s="31" t="n">
        <f aca="false">COUNTIF(K5,$A$22)</f>
        <v>0</v>
      </c>
      <c r="L23" s="31" t="n">
        <f aca="false">COUNTIF(L5,$A$22)</f>
        <v>0</v>
      </c>
      <c r="M23" s="31" t="n">
        <f aca="false">COUNTIF(M5,$A$22)</f>
        <v>0</v>
      </c>
      <c r="N23" s="31" t="n">
        <f aca="false">COUNTIF(N5,$A$22)</f>
        <v>0</v>
      </c>
      <c r="O23" s="31" t="n">
        <f aca="false">COUNTIF(O5,$A$22)</f>
        <v>0</v>
      </c>
      <c r="P23" s="31" t="n">
        <f aca="false">COUNTIF(P5,$A$22)</f>
        <v>0</v>
      </c>
      <c r="Q23" s="31" t="n">
        <f aca="false">COUNTIF(Q5,$A$22)</f>
        <v>0</v>
      </c>
      <c r="R23" s="31" t="n">
        <f aca="false">COUNTIF(R5,$A$22)</f>
        <v>0</v>
      </c>
      <c r="S23" s="31" t="n">
        <f aca="false">COUNTIF(S5,$A$22)</f>
        <v>0</v>
      </c>
      <c r="T23" s="31" t="n">
        <f aca="false">COUNTIF(T5,$A$22)</f>
        <v>0</v>
      </c>
      <c r="U23" s="31" t="n">
        <f aca="false">COUNTIF(U5,$A$22)</f>
        <v>0</v>
      </c>
      <c r="V23" s="31" t="n">
        <f aca="false">COUNTIF(V5,$A$22)</f>
        <v>0</v>
      </c>
      <c r="W23" s="31" t="n">
        <f aca="false">COUNTIF(W5,$A$22)</f>
        <v>0</v>
      </c>
      <c r="X23" s="31" t="n">
        <f aca="false">COUNTIF(X5,$A$22)</f>
        <v>0</v>
      </c>
      <c r="Y23" s="31" t="n">
        <f aca="false">COUNTIF(Y5,$A$22)</f>
        <v>0</v>
      </c>
      <c r="Z23" s="31"/>
    </row>
    <row r="24" customFormat="false" ht="21" hidden="false" customHeight="true" outlineLevel="0" collapsed="false">
      <c r="A24" s="31"/>
      <c r="B24" s="31" t="n">
        <f aca="false">COUNTIF(B6,$A$22)</f>
        <v>0</v>
      </c>
      <c r="C24" s="31" t="n">
        <f aca="false">COUNTIF(C6,$A$22)</f>
        <v>0</v>
      </c>
      <c r="D24" s="31" t="n">
        <f aca="false">COUNTIF(D6,$A$22)</f>
        <v>0</v>
      </c>
      <c r="E24" s="31" t="n">
        <f aca="false">COUNTIF(E6,$A$22)</f>
        <v>0</v>
      </c>
      <c r="F24" s="31" t="n">
        <f aca="false">COUNTIF(F6,$A$22)</f>
        <v>0</v>
      </c>
      <c r="G24" s="31" t="n">
        <f aca="false">COUNTIF(G6,$A$22)</f>
        <v>0</v>
      </c>
      <c r="H24" s="31" t="n">
        <f aca="false">COUNTIF(H6,$A$22)</f>
        <v>0</v>
      </c>
      <c r="I24" s="31" t="n">
        <f aca="false">COUNTIF(I6,$A$22)</f>
        <v>0</v>
      </c>
      <c r="J24" s="31" t="n">
        <f aca="false">COUNTIF(J6,$A$22)</f>
        <v>0</v>
      </c>
      <c r="K24" s="31" t="n">
        <f aca="false">COUNTIF(K6,$A$22)</f>
        <v>0</v>
      </c>
      <c r="L24" s="31" t="n">
        <f aca="false">COUNTIF(L6,$A$22)</f>
        <v>0</v>
      </c>
      <c r="M24" s="31" t="n">
        <f aca="false">COUNTIF(M6,$A$22)</f>
        <v>0</v>
      </c>
      <c r="N24" s="31" t="n">
        <f aca="false">COUNTIF(N6,$A$22)</f>
        <v>0</v>
      </c>
      <c r="O24" s="31" t="n">
        <f aca="false">COUNTIF(O6,$A$22)</f>
        <v>0</v>
      </c>
      <c r="P24" s="31" t="n">
        <f aca="false">COUNTIF(P6,$A$22)</f>
        <v>0</v>
      </c>
      <c r="Q24" s="31" t="n">
        <f aca="false">COUNTIF(Q6,$A$22)</f>
        <v>0</v>
      </c>
      <c r="R24" s="31" t="n">
        <f aca="false">COUNTIF(R6,$A$22)</f>
        <v>0</v>
      </c>
      <c r="S24" s="31" t="n">
        <f aca="false">COUNTIF(S6,$A$22)</f>
        <v>0</v>
      </c>
      <c r="T24" s="31" t="n">
        <f aca="false">COUNTIF(T6,$A$22)</f>
        <v>0</v>
      </c>
      <c r="U24" s="31" t="n">
        <f aca="false">COUNTIF(U6,$A$22)</f>
        <v>0</v>
      </c>
      <c r="V24" s="31" t="n">
        <f aca="false">COUNTIF(V6,$A$22)</f>
        <v>0</v>
      </c>
      <c r="W24" s="31" t="n">
        <f aca="false">COUNTIF(W6,$A$22)</f>
        <v>0</v>
      </c>
      <c r="X24" s="31" t="n">
        <f aca="false">COUNTIF(X6,$A$22)</f>
        <v>0</v>
      </c>
      <c r="Y24" s="31" t="n">
        <f aca="false">COUNTIF(Y6,$A$22)</f>
        <v>0</v>
      </c>
      <c r="Z24" s="31"/>
    </row>
    <row r="25" customFormat="false" ht="21" hidden="false" customHeight="true" outlineLevel="0" collapsed="false">
      <c r="A25" s="31"/>
      <c r="B25" s="31" t="n">
        <f aca="false">COUNTIF(B7,$A$22)</f>
        <v>0</v>
      </c>
      <c r="C25" s="31" t="n">
        <f aca="false">COUNTIF(C7,$A$22)</f>
        <v>0</v>
      </c>
      <c r="D25" s="31" t="n">
        <f aca="false">COUNTIF(D7,$A$22)</f>
        <v>0</v>
      </c>
      <c r="E25" s="31" t="n">
        <f aca="false">COUNTIF(E7,$A$22)</f>
        <v>0</v>
      </c>
      <c r="F25" s="31" t="n">
        <f aca="false">COUNTIF(F7,$A$22)</f>
        <v>0</v>
      </c>
      <c r="G25" s="31" t="n">
        <f aca="false">COUNTIF(G7,$A$22)</f>
        <v>0</v>
      </c>
      <c r="H25" s="31" t="n">
        <f aca="false">COUNTIF(H7,$A$22)</f>
        <v>0</v>
      </c>
      <c r="I25" s="31" t="n">
        <f aca="false">COUNTIF(I7,$A$22)</f>
        <v>0</v>
      </c>
      <c r="J25" s="31" t="n">
        <f aca="false">COUNTIF(J7,$A$22)</f>
        <v>0</v>
      </c>
      <c r="K25" s="31" t="n">
        <f aca="false">COUNTIF(K7,$A$22)</f>
        <v>0</v>
      </c>
      <c r="L25" s="31" t="n">
        <f aca="false">COUNTIF(L7,$A$22)</f>
        <v>0</v>
      </c>
      <c r="M25" s="31" t="n">
        <f aca="false">COUNTIF(M7,$A$22)</f>
        <v>0</v>
      </c>
      <c r="N25" s="31" t="n">
        <f aca="false">COUNTIF(N7,$A$22)</f>
        <v>0</v>
      </c>
      <c r="O25" s="31" t="n">
        <f aca="false">COUNTIF(O7,$A$22)</f>
        <v>0</v>
      </c>
      <c r="P25" s="31" t="n">
        <f aca="false">COUNTIF(P7,$A$22)</f>
        <v>0</v>
      </c>
      <c r="Q25" s="31" t="n">
        <f aca="false">COUNTIF(Q7,$A$22)</f>
        <v>0</v>
      </c>
      <c r="R25" s="31" t="n">
        <f aca="false">COUNTIF(R7,$A$22)</f>
        <v>0</v>
      </c>
      <c r="S25" s="31" t="n">
        <f aca="false">COUNTIF(S7,$A$22)</f>
        <v>0</v>
      </c>
      <c r="T25" s="31" t="n">
        <f aca="false">COUNTIF(T7,$A$22)</f>
        <v>0</v>
      </c>
      <c r="U25" s="31" t="n">
        <f aca="false">COUNTIF(U7,$A$22)</f>
        <v>0</v>
      </c>
      <c r="V25" s="31" t="n">
        <f aca="false">COUNTIF(V7,$A$22)</f>
        <v>0</v>
      </c>
      <c r="W25" s="31" t="n">
        <f aca="false">COUNTIF(W7,$A$22)</f>
        <v>0</v>
      </c>
      <c r="X25" s="31" t="n">
        <f aca="false">COUNTIF(X7,$A$22)</f>
        <v>0</v>
      </c>
      <c r="Y25" s="31" t="n">
        <f aca="false">COUNTIF(Y7,$A$22)</f>
        <v>0</v>
      </c>
      <c r="Z25" s="31"/>
    </row>
    <row r="26" customFormat="false" ht="21" hidden="false" customHeight="true" outlineLevel="0" collapsed="false">
      <c r="A26" s="31"/>
      <c r="B26" s="31" t="n">
        <f aca="false">COUNTIF(B8,$A$22)</f>
        <v>0</v>
      </c>
      <c r="C26" s="31" t="n">
        <f aca="false">COUNTIF(C8,$A$22)</f>
        <v>0</v>
      </c>
      <c r="D26" s="31" t="n">
        <f aca="false">COUNTIF(D8,$A$22)</f>
        <v>1</v>
      </c>
      <c r="E26" s="31" t="n">
        <f aca="false">COUNTIF(E8,$A$22)</f>
        <v>1</v>
      </c>
      <c r="F26" s="31" t="n">
        <f aca="false">COUNTIF(F8,$A$22)</f>
        <v>1</v>
      </c>
      <c r="G26" s="31" t="n">
        <f aca="false">COUNTIF(G8,$A$22)</f>
        <v>1</v>
      </c>
      <c r="H26" s="31" t="n">
        <f aca="false">COUNTIF(H8,$A$22)</f>
        <v>0</v>
      </c>
      <c r="I26" s="31" t="n">
        <f aca="false">COUNTIF(I8,$A$22)</f>
        <v>0</v>
      </c>
      <c r="J26" s="31" t="n">
        <f aca="false">COUNTIF(J8,$A$22)</f>
        <v>0</v>
      </c>
      <c r="K26" s="31" t="n">
        <f aca="false">COUNTIF(K8,$A$22)</f>
        <v>0</v>
      </c>
      <c r="L26" s="31" t="n">
        <f aca="false">COUNTIF(L8,$A$22)</f>
        <v>1</v>
      </c>
      <c r="M26" s="31" t="n">
        <f aca="false">COUNTIF(M8,$A$22)</f>
        <v>1</v>
      </c>
      <c r="N26" s="31" t="n">
        <f aca="false">COUNTIF(N8,$A$22)</f>
        <v>1</v>
      </c>
      <c r="O26" s="31" t="n">
        <f aca="false">COUNTIF(O8,$A$22)</f>
        <v>1</v>
      </c>
      <c r="P26" s="31" t="n">
        <f aca="false">COUNTIF(P8,$A$22)</f>
        <v>1</v>
      </c>
      <c r="Q26" s="31" t="n">
        <f aca="false">COUNTIF(Q8,$A$22)</f>
        <v>1</v>
      </c>
      <c r="R26" s="31" t="n">
        <f aca="false">COUNTIF(R8,$A$22)</f>
        <v>1</v>
      </c>
      <c r="S26" s="31" t="n">
        <f aca="false">COUNTIF(S8,$A$22)</f>
        <v>1</v>
      </c>
      <c r="T26" s="31" t="n">
        <f aca="false">COUNTIF(T8,$A$22)</f>
        <v>1</v>
      </c>
      <c r="U26" s="31" t="n">
        <f aca="false">COUNTIF(U8,$A$22)</f>
        <v>1</v>
      </c>
      <c r="V26" s="31" t="n">
        <f aca="false">COUNTIF(V8,$A$22)</f>
        <v>1</v>
      </c>
      <c r="W26" s="31" t="n">
        <f aca="false">COUNTIF(W8,$A$22)</f>
        <v>1</v>
      </c>
      <c r="X26" s="31" t="n">
        <f aca="false">COUNTIF(X8,$A$22)</f>
        <v>0</v>
      </c>
      <c r="Y26" s="31" t="n">
        <f aca="false">COUNTIF(Y8,$A$22)</f>
        <v>0</v>
      </c>
      <c r="Z26" s="31"/>
    </row>
    <row r="27" customFormat="false" ht="21" hidden="false" customHeight="true" outlineLevel="0" collapsed="false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21" hidden="false" customHeight="tru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21" hidden="false" customHeight="true" outlineLevel="0" collapsed="false">
      <c r="A29" s="31" t="s">
        <v>167</v>
      </c>
      <c r="B29" s="31" t="n">
        <f aca="false">COUNTIF(B4,$A$29)</f>
        <v>0</v>
      </c>
      <c r="C29" s="31" t="n">
        <f aca="false">COUNTIF(C4,$A$29)</f>
        <v>0</v>
      </c>
      <c r="D29" s="31" t="n">
        <f aca="false">COUNTIF(D4,$A$29)</f>
        <v>0</v>
      </c>
      <c r="E29" s="31" t="n">
        <f aca="false">COUNTIF(E4,$A$29)</f>
        <v>0</v>
      </c>
      <c r="F29" s="31" t="n">
        <f aca="false">COUNTIF(F4,$A$29)</f>
        <v>0</v>
      </c>
      <c r="G29" s="31" t="n">
        <f aca="false">COUNTIF(G4,$A$29)</f>
        <v>0</v>
      </c>
      <c r="H29" s="31" t="n">
        <f aca="false">COUNTIF(H4,$A$29)</f>
        <v>0</v>
      </c>
      <c r="I29" s="31" t="n">
        <f aca="false">COUNTIF(I4,$A$29)</f>
        <v>0</v>
      </c>
      <c r="J29" s="31" t="n">
        <f aca="false">COUNTIF(J4,$A$29)</f>
        <v>0</v>
      </c>
      <c r="K29" s="31" t="n">
        <f aca="false">COUNTIF(K4,$A$29)</f>
        <v>0</v>
      </c>
      <c r="L29" s="31" t="n">
        <f aca="false">COUNTIF(L4,$A$29)</f>
        <v>0</v>
      </c>
      <c r="M29" s="31" t="n">
        <f aca="false">COUNTIF(M4,$A$29)</f>
        <v>0</v>
      </c>
      <c r="N29" s="31" t="n">
        <f aca="false">COUNTIF(N4,$A$29)</f>
        <v>0</v>
      </c>
      <c r="O29" s="31" t="n">
        <f aca="false">COUNTIF(O4,$A$29)</f>
        <v>0</v>
      </c>
      <c r="P29" s="31" t="n">
        <f aca="false">COUNTIF(P4,$A$29)</f>
        <v>0</v>
      </c>
      <c r="Q29" s="31" t="n">
        <f aca="false">COUNTIF(Q4,$A$29)</f>
        <v>0</v>
      </c>
      <c r="R29" s="31" t="n">
        <f aca="false">COUNTIF(R4,$A$29)</f>
        <v>0</v>
      </c>
      <c r="S29" s="31" t="n">
        <f aca="false">COUNTIF(S4,$A$29)</f>
        <v>0</v>
      </c>
      <c r="T29" s="31" t="n">
        <f aca="false">COUNTIF(T4,$A$29)</f>
        <v>0</v>
      </c>
      <c r="U29" s="31" t="n">
        <f aca="false">COUNTIF(U4,$A$29)</f>
        <v>0</v>
      </c>
      <c r="V29" s="31" t="n">
        <f aca="false">COUNTIF(V4,$A$29)</f>
        <v>0</v>
      </c>
      <c r="W29" s="31" t="n">
        <f aca="false">COUNTIF(W4,$A$29)</f>
        <v>0</v>
      </c>
      <c r="X29" s="31" t="n">
        <f aca="false">COUNTIF(X4,$A$29)</f>
        <v>0</v>
      </c>
      <c r="Y29" s="31" t="n">
        <f aca="false">COUNTIF(Y4,$A$29)</f>
        <v>0</v>
      </c>
      <c r="Z29" s="31"/>
    </row>
    <row r="30" customFormat="false" ht="21" hidden="false" customHeight="true" outlineLevel="0" collapsed="false">
      <c r="A30" s="31"/>
      <c r="B30" s="31" t="n">
        <f aca="false">COUNTIF(B5,$A$29)</f>
        <v>0</v>
      </c>
      <c r="C30" s="31" t="n">
        <f aca="false">COUNTIF(C5,$A$29)</f>
        <v>0</v>
      </c>
      <c r="D30" s="31" t="n">
        <f aca="false">COUNTIF(D5,$A$29)</f>
        <v>0</v>
      </c>
      <c r="E30" s="31" t="n">
        <f aca="false">COUNTIF(E5,$A$29)</f>
        <v>0</v>
      </c>
      <c r="F30" s="31" t="n">
        <f aca="false">COUNTIF(F5,$A$29)</f>
        <v>0</v>
      </c>
      <c r="G30" s="31" t="n">
        <f aca="false">COUNTIF(G5,$A$29)</f>
        <v>0</v>
      </c>
      <c r="H30" s="31" t="n">
        <f aca="false">COUNTIF(H5,$A$29)</f>
        <v>0</v>
      </c>
      <c r="I30" s="31" t="n">
        <f aca="false">COUNTIF(I5,$A$29)</f>
        <v>0</v>
      </c>
      <c r="J30" s="31" t="n">
        <f aca="false">COUNTIF(J5,$A$29)</f>
        <v>0</v>
      </c>
      <c r="K30" s="31" t="n">
        <f aca="false">COUNTIF(K5,$A$29)</f>
        <v>0</v>
      </c>
      <c r="L30" s="31" t="n">
        <f aca="false">COUNTIF(L5,$A$29)</f>
        <v>0</v>
      </c>
      <c r="M30" s="31" t="n">
        <f aca="false">COUNTIF(M5,$A$29)</f>
        <v>0</v>
      </c>
      <c r="N30" s="31" t="n">
        <f aca="false">COUNTIF(N5,$A$29)</f>
        <v>0</v>
      </c>
      <c r="O30" s="31" t="n">
        <f aca="false">COUNTIF(O5,$A$29)</f>
        <v>0</v>
      </c>
      <c r="P30" s="31" t="n">
        <f aca="false">COUNTIF(P5,$A$29)</f>
        <v>0</v>
      </c>
      <c r="Q30" s="31" t="n">
        <f aca="false">COUNTIF(Q5,$A$29)</f>
        <v>0</v>
      </c>
      <c r="R30" s="31" t="n">
        <f aca="false">COUNTIF(R5,$A$29)</f>
        <v>0</v>
      </c>
      <c r="S30" s="31" t="n">
        <f aca="false">COUNTIF(S5,$A$29)</f>
        <v>0</v>
      </c>
      <c r="T30" s="31" t="n">
        <f aca="false">COUNTIF(T5,$A$29)</f>
        <v>0</v>
      </c>
      <c r="U30" s="31" t="n">
        <f aca="false">COUNTIF(U5,$A$29)</f>
        <v>0</v>
      </c>
      <c r="V30" s="31" t="n">
        <f aca="false">COUNTIF(V5,$A$29)</f>
        <v>0</v>
      </c>
      <c r="W30" s="31" t="n">
        <f aca="false">COUNTIF(W5,$A$29)</f>
        <v>0</v>
      </c>
      <c r="X30" s="31" t="n">
        <f aca="false">COUNTIF(X5,$A$29)</f>
        <v>0</v>
      </c>
      <c r="Y30" s="31" t="n">
        <f aca="false">COUNTIF(Y5,$A$29)</f>
        <v>0</v>
      </c>
      <c r="Z30" s="31"/>
    </row>
    <row r="31" customFormat="false" ht="21" hidden="false" customHeight="true" outlineLevel="0" collapsed="false">
      <c r="A31" s="31"/>
      <c r="B31" s="31" t="n">
        <f aca="false">COUNTIF(B6,$A$29)</f>
        <v>0</v>
      </c>
      <c r="C31" s="31" t="n">
        <f aca="false">COUNTIF(C6,$A$29)</f>
        <v>0</v>
      </c>
      <c r="D31" s="31" t="n">
        <f aca="false">COUNTIF(D6,$A$29)</f>
        <v>0</v>
      </c>
      <c r="E31" s="31" t="n">
        <f aca="false">COUNTIF(E6,$A$29)</f>
        <v>0</v>
      </c>
      <c r="F31" s="31" t="n">
        <f aca="false">COUNTIF(F6,$A$29)</f>
        <v>0</v>
      </c>
      <c r="G31" s="31" t="n">
        <f aca="false">COUNTIF(G6,$A$29)</f>
        <v>0</v>
      </c>
      <c r="H31" s="31" t="n">
        <f aca="false">COUNTIF(H6,$A$29)</f>
        <v>0</v>
      </c>
      <c r="I31" s="31" t="n">
        <f aca="false">COUNTIF(I6,$A$29)</f>
        <v>0</v>
      </c>
      <c r="J31" s="31" t="n">
        <f aca="false">COUNTIF(J6,$A$29)</f>
        <v>0</v>
      </c>
      <c r="K31" s="31" t="n">
        <f aca="false">COUNTIF(K6,$A$29)</f>
        <v>0</v>
      </c>
      <c r="L31" s="31" t="n">
        <f aca="false">COUNTIF(L6,$A$29)</f>
        <v>0</v>
      </c>
      <c r="M31" s="31" t="n">
        <f aca="false">COUNTIF(M6,$A$29)</f>
        <v>0</v>
      </c>
      <c r="N31" s="31" t="n">
        <f aca="false">COUNTIF(N6,$A$29)</f>
        <v>0</v>
      </c>
      <c r="O31" s="31" t="n">
        <f aca="false">COUNTIF(O6,$A$29)</f>
        <v>0</v>
      </c>
      <c r="P31" s="31" t="n">
        <f aca="false">COUNTIF(P6,$A$29)</f>
        <v>0</v>
      </c>
      <c r="Q31" s="31" t="n">
        <f aca="false">COUNTIF(Q6,$A$29)</f>
        <v>0</v>
      </c>
      <c r="R31" s="31" t="n">
        <f aca="false">COUNTIF(R6,$A$29)</f>
        <v>0</v>
      </c>
      <c r="S31" s="31" t="n">
        <f aca="false">COUNTIF(S6,$A$29)</f>
        <v>0</v>
      </c>
      <c r="T31" s="31" t="n">
        <f aca="false">COUNTIF(T6,$A$29)</f>
        <v>0</v>
      </c>
      <c r="U31" s="31" t="n">
        <f aca="false">COUNTIF(U6,$A$29)</f>
        <v>0</v>
      </c>
      <c r="V31" s="31" t="n">
        <f aca="false">COUNTIF(V6,$A$29)</f>
        <v>0</v>
      </c>
      <c r="W31" s="31" t="n">
        <f aca="false">COUNTIF(W6,$A$29)</f>
        <v>0</v>
      </c>
      <c r="X31" s="31" t="n">
        <f aca="false">COUNTIF(X6,$A$29)</f>
        <v>0</v>
      </c>
      <c r="Y31" s="31" t="n">
        <f aca="false">COUNTIF(Y6,$A$29)</f>
        <v>0</v>
      </c>
      <c r="Z31" s="31"/>
    </row>
    <row r="32" customFormat="false" ht="21" hidden="false" customHeight="true" outlineLevel="0" collapsed="false">
      <c r="A32" s="31"/>
      <c r="B32" s="31" t="n">
        <f aca="false">COUNTIF(B7,$A$29)</f>
        <v>0</v>
      </c>
      <c r="C32" s="31" t="n">
        <f aca="false">COUNTIF(C7,$A$29)</f>
        <v>0</v>
      </c>
      <c r="D32" s="31" t="n">
        <f aca="false">COUNTIF(D7,$A$29)</f>
        <v>0</v>
      </c>
      <c r="E32" s="31" t="n">
        <f aca="false">COUNTIF(E7,$A$29)</f>
        <v>0</v>
      </c>
      <c r="F32" s="31" t="n">
        <f aca="false">COUNTIF(F7,$A$29)</f>
        <v>0</v>
      </c>
      <c r="G32" s="31" t="n">
        <f aca="false">COUNTIF(G7,$A$29)</f>
        <v>0</v>
      </c>
      <c r="H32" s="31" t="n">
        <f aca="false">COUNTIF(H7,$A$29)</f>
        <v>0</v>
      </c>
      <c r="I32" s="31" t="n">
        <f aca="false">COUNTIF(I7,$A$29)</f>
        <v>0</v>
      </c>
      <c r="J32" s="31" t="n">
        <f aca="false">COUNTIF(J7,$A$29)</f>
        <v>0</v>
      </c>
      <c r="K32" s="31" t="n">
        <f aca="false">COUNTIF(K7,$A$29)</f>
        <v>0</v>
      </c>
      <c r="L32" s="31" t="n">
        <f aca="false">COUNTIF(L7,$A$29)</f>
        <v>0</v>
      </c>
      <c r="M32" s="31" t="n">
        <f aca="false">COUNTIF(M7,$A$29)</f>
        <v>0</v>
      </c>
      <c r="N32" s="31" t="n">
        <f aca="false">COUNTIF(N7,$A$29)</f>
        <v>0</v>
      </c>
      <c r="O32" s="31" t="n">
        <f aca="false">COUNTIF(O7,$A$29)</f>
        <v>0</v>
      </c>
      <c r="P32" s="31" t="n">
        <f aca="false">COUNTIF(P7,$A$29)</f>
        <v>0</v>
      </c>
      <c r="Q32" s="31" t="n">
        <f aca="false">COUNTIF(Q7,$A$29)</f>
        <v>0</v>
      </c>
      <c r="R32" s="31" t="n">
        <f aca="false">COUNTIF(R7,$A$29)</f>
        <v>0</v>
      </c>
      <c r="S32" s="31" t="n">
        <f aca="false">COUNTIF(S7,$A$29)</f>
        <v>0</v>
      </c>
      <c r="T32" s="31" t="n">
        <f aca="false">COUNTIF(T7,$A$29)</f>
        <v>0</v>
      </c>
      <c r="U32" s="31" t="n">
        <f aca="false">COUNTIF(U7,$A$29)</f>
        <v>0</v>
      </c>
      <c r="V32" s="31" t="n">
        <f aca="false">COUNTIF(V7,$A$29)</f>
        <v>0</v>
      </c>
      <c r="W32" s="31" t="n">
        <f aca="false">COUNTIF(W7,$A$29)</f>
        <v>0</v>
      </c>
      <c r="X32" s="31" t="n">
        <f aca="false">COUNTIF(X7,$A$29)</f>
        <v>0</v>
      </c>
      <c r="Y32" s="31" t="n">
        <f aca="false">COUNTIF(Y7,$A$29)</f>
        <v>0</v>
      </c>
      <c r="Z32" s="31"/>
    </row>
    <row r="33" customFormat="false" ht="21" hidden="false" customHeight="true" outlineLevel="0" collapsed="false">
      <c r="A33" s="31"/>
      <c r="B33" s="31" t="n">
        <f aca="false">COUNTIF(B8,$A$29)</f>
        <v>0</v>
      </c>
      <c r="C33" s="31" t="n">
        <f aca="false">COUNTIF(C8,$A$29)</f>
        <v>0</v>
      </c>
      <c r="D33" s="31" t="n">
        <f aca="false">COUNTIF(D8,$A$29)</f>
        <v>0</v>
      </c>
      <c r="E33" s="31" t="n">
        <f aca="false">COUNTIF(E8,$A$29)</f>
        <v>0</v>
      </c>
      <c r="F33" s="31" t="n">
        <f aca="false">COUNTIF(F8,$A$29)</f>
        <v>0</v>
      </c>
      <c r="G33" s="31" t="n">
        <f aca="false">COUNTIF(G8,$A$29)</f>
        <v>0</v>
      </c>
      <c r="H33" s="31" t="n">
        <f aca="false">COUNTIF(H8,$A$29)</f>
        <v>0</v>
      </c>
      <c r="I33" s="31" t="n">
        <f aca="false">COUNTIF(I8,$A$29)</f>
        <v>0</v>
      </c>
      <c r="J33" s="31" t="n">
        <f aca="false">COUNTIF(J8,$A$29)</f>
        <v>0</v>
      </c>
      <c r="K33" s="31" t="n">
        <f aca="false">COUNTIF(K8,$A$29)</f>
        <v>0</v>
      </c>
      <c r="L33" s="31" t="n">
        <f aca="false">COUNTIF(L8,$A$29)</f>
        <v>0</v>
      </c>
      <c r="M33" s="31" t="n">
        <f aca="false">COUNTIF(M8,$A$29)</f>
        <v>0</v>
      </c>
      <c r="N33" s="31" t="n">
        <f aca="false">COUNTIF(N8,$A$29)</f>
        <v>0</v>
      </c>
      <c r="O33" s="31" t="n">
        <f aca="false">COUNTIF(O8,$A$29)</f>
        <v>0</v>
      </c>
      <c r="P33" s="31" t="n">
        <f aca="false">COUNTIF(P8,$A$29)</f>
        <v>0</v>
      </c>
      <c r="Q33" s="31" t="n">
        <f aca="false">COUNTIF(Q8,$A$29)</f>
        <v>0</v>
      </c>
      <c r="R33" s="31" t="n">
        <f aca="false">COUNTIF(R8,$A$29)</f>
        <v>0</v>
      </c>
      <c r="S33" s="31" t="n">
        <f aca="false">COUNTIF(S8,$A$29)</f>
        <v>0</v>
      </c>
      <c r="T33" s="31" t="n">
        <f aca="false">COUNTIF(T8,$A$29)</f>
        <v>0</v>
      </c>
      <c r="U33" s="31" t="n">
        <f aca="false">COUNTIF(U8,$A$29)</f>
        <v>0</v>
      </c>
      <c r="V33" s="31" t="n">
        <f aca="false">COUNTIF(V8,$A$29)</f>
        <v>0</v>
      </c>
      <c r="W33" s="31" t="n">
        <f aca="false">COUNTIF(W8,$A$29)</f>
        <v>0</v>
      </c>
      <c r="X33" s="31" t="n">
        <f aca="false">COUNTIF(X8,$A$29)</f>
        <v>0</v>
      </c>
      <c r="Y33" s="31" t="n">
        <f aca="false">COUNTIF(Y8,$A$29)</f>
        <v>0</v>
      </c>
      <c r="Z33" s="31"/>
    </row>
    <row r="34" customFormat="false" ht="21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21" hidden="false" customHeight="true" outlineLevel="0" collapsed="false">
      <c r="A35" s="31" t="s">
        <v>173</v>
      </c>
      <c r="B35" s="31" t="n">
        <f aca="false">COUNTIF(B4,$A$35)</f>
        <v>0</v>
      </c>
      <c r="C35" s="31" t="n">
        <f aca="false">COUNTIF(C4,$A$35)</f>
        <v>0</v>
      </c>
      <c r="D35" s="31" t="n">
        <f aca="false">COUNTIF(D4,$A$35)</f>
        <v>0</v>
      </c>
      <c r="E35" s="31" t="n">
        <f aca="false">COUNTIF(E4,$A$35)</f>
        <v>0</v>
      </c>
      <c r="F35" s="31" t="n">
        <f aca="false">COUNTIF(F4,$A$35)</f>
        <v>0</v>
      </c>
      <c r="G35" s="31" t="n">
        <f aca="false">COUNTIF(G4,$A$35)</f>
        <v>0</v>
      </c>
      <c r="H35" s="31" t="n">
        <f aca="false">COUNTIF(H4,$A$35)</f>
        <v>0</v>
      </c>
      <c r="I35" s="31" t="n">
        <f aca="false">COUNTIF(I4,$A$35)</f>
        <v>0</v>
      </c>
      <c r="J35" s="31" t="n">
        <f aca="false">COUNTIF(J4,$A$35)</f>
        <v>0</v>
      </c>
      <c r="K35" s="31" t="n">
        <f aca="false">COUNTIF(K4,$A$35)</f>
        <v>0</v>
      </c>
      <c r="L35" s="31" t="n">
        <f aca="false">COUNTIF(L4,$A$35)</f>
        <v>0</v>
      </c>
      <c r="M35" s="31" t="n">
        <f aca="false">COUNTIF(M4,$A$35)</f>
        <v>0</v>
      </c>
      <c r="N35" s="31" t="n">
        <f aca="false">COUNTIF(N4,$A$35)</f>
        <v>0</v>
      </c>
      <c r="O35" s="31" t="n">
        <f aca="false">COUNTIF(O4,$A$35)</f>
        <v>0</v>
      </c>
      <c r="P35" s="31" t="n">
        <f aca="false">COUNTIF(P4,$A$35)</f>
        <v>0</v>
      </c>
      <c r="Q35" s="31" t="n">
        <f aca="false">COUNTIF(Q4,$A$35)</f>
        <v>0</v>
      </c>
      <c r="R35" s="31" t="n">
        <f aca="false">COUNTIF(R4,$A$35)</f>
        <v>0</v>
      </c>
      <c r="S35" s="31" t="n">
        <f aca="false">COUNTIF(S4,$A$35)</f>
        <v>0</v>
      </c>
      <c r="T35" s="31" t="n">
        <f aca="false">COUNTIF(T4,$A$35)</f>
        <v>0</v>
      </c>
      <c r="U35" s="31" t="n">
        <f aca="false">COUNTIF(U4,$A$35)</f>
        <v>0</v>
      </c>
      <c r="V35" s="31" t="n">
        <f aca="false">COUNTIF(V4,$A$35)</f>
        <v>0</v>
      </c>
      <c r="W35" s="31" t="n">
        <f aca="false">COUNTIF(W4,$A$35)</f>
        <v>0</v>
      </c>
      <c r="X35" s="31" t="n">
        <f aca="false">COUNTIF(X4,$A$35)</f>
        <v>0</v>
      </c>
      <c r="Y35" s="31" t="n">
        <f aca="false">COUNTIF(Y4,$A$35)</f>
        <v>0</v>
      </c>
      <c r="Z35" s="31"/>
    </row>
    <row r="36" customFormat="false" ht="21" hidden="false" customHeight="true" outlineLevel="0" collapsed="false">
      <c r="A36" s="31"/>
      <c r="B36" s="31" t="n">
        <f aca="false">COUNTIF(B5,$A$35)</f>
        <v>0</v>
      </c>
      <c r="C36" s="31" t="n">
        <f aca="false">COUNTIF(C5,$A$35)</f>
        <v>0</v>
      </c>
      <c r="D36" s="31" t="n">
        <f aca="false">COUNTIF(D5,$A$35)</f>
        <v>0</v>
      </c>
      <c r="E36" s="31" t="n">
        <f aca="false">COUNTIF(E5,$A$35)</f>
        <v>0</v>
      </c>
      <c r="F36" s="31" t="n">
        <f aca="false">COUNTIF(F5,$A$35)</f>
        <v>0</v>
      </c>
      <c r="G36" s="31" t="n">
        <f aca="false">COUNTIF(G5,$A$35)</f>
        <v>0</v>
      </c>
      <c r="H36" s="31" t="n">
        <f aca="false">COUNTIF(H5,$A$35)</f>
        <v>0</v>
      </c>
      <c r="I36" s="31" t="n">
        <f aca="false">COUNTIF(I5,$A$35)</f>
        <v>0</v>
      </c>
      <c r="J36" s="31" t="n">
        <f aca="false">COUNTIF(J5,$A$35)</f>
        <v>0</v>
      </c>
      <c r="K36" s="31" t="n">
        <f aca="false">COUNTIF(K5,$A$35)</f>
        <v>0</v>
      </c>
      <c r="L36" s="31" t="n">
        <f aca="false">COUNTIF(L5,$A$35)</f>
        <v>0</v>
      </c>
      <c r="M36" s="31" t="n">
        <f aca="false">COUNTIF(M5,$A$35)</f>
        <v>0</v>
      </c>
      <c r="N36" s="31" t="n">
        <f aca="false">COUNTIF(N5,$A$35)</f>
        <v>0</v>
      </c>
      <c r="O36" s="31" t="n">
        <f aca="false">COUNTIF(O5,$A$35)</f>
        <v>0</v>
      </c>
      <c r="P36" s="31" t="n">
        <f aca="false">COUNTIF(P5,$A$35)</f>
        <v>0</v>
      </c>
      <c r="Q36" s="31" t="n">
        <f aca="false">COUNTIF(Q5,$A$35)</f>
        <v>0</v>
      </c>
      <c r="R36" s="31" t="n">
        <f aca="false">COUNTIF(R5,$A$35)</f>
        <v>0</v>
      </c>
      <c r="S36" s="31" t="n">
        <f aca="false">COUNTIF(S5,$A$35)</f>
        <v>0</v>
      </c>
      <c r="T36" s="31" t="n">
        <f aca="false">COUNTIF(T5,$A$35)</f>
        <v>0</v>
      </c>
      <c r="U36" s="31" t="n">
        <f aca="false">COUNTIF(U5,$A$35)</f>
        <v>0</v>
      </c>
      <c r="V36" s="31" t="n">
        <f aca="false">COUNTIF(V5,$A$35)</f>
        <v>0</v>
      </c>
      <c r="W36" s="31" t="n">
        <f aca="false">COUNTIF(W5,$A$35)</f>
        <v>0</v>
      </c>
      <c r="X36" s="31" t="n">
        <f aca="false">COUNTIF(X5,$A$35)</f>
        <v>0</v>
      </c>
      <c r="Y36" s="31" t="n">
        <f aca="false">COUNTIF(Y5,$A$35)</f>
        <v>0</v>
      </c>
      <c r="Z36" s="31"/>
    </row>
    <row r="37" customFormat="false" ht="21" hidden="false" customHeight="true" outlineLevel="0" collapsed="false">
      <c r="A37" s="31"/>
      <c r="B37" s="31" t="n">
        <f aca="false">COUNTIF(B6,$A$35)</f>
        <v>0</v>
      </c>
      <c r="C37" s="31" t="n">
        <f aca="false">COUNTIF(C6,$A$35)</f>
        <v>0</v>
      </c>
      <c r="D37" s="31" t="n">
        <f aca="false">COUNTIF(D6,$A$35)</f>
        <v>0</v>
      </c>
      <c r="E37" s="31" t="n">
        <f aca="false">COUNTIF(E6,$A$35)</f>
        <v>0</v>
      </c>
      <c r="F37" s="31" t="n">
        <f aca="false">COUNTIF(F6,$A$35)</f>
        <v>0</v>
      </c>
      <c r="G37" s="31" t="n">
        <f aca="false">COUNTIF(G6,$A$35)</f>
        <v>0</v>
      </c>
      <c r="H37" s="31" t="n">
        <f aca="false">COUNTIF(H6,$A$35)</f>
        <v>0</v>
      </c>
      <c r="I37" s="31" t="n">
        <f aca="false">COUNTIF(I6,$A$35)</f>
        <v>0</v>
      </c>
      <c r="J37" s="31" t="n">
        <f aca="false">COUNTIF(J6,$A$35)</f>
        <v>0</v>
      </c>
      <c r="K37" s="31" t="n">
        <f aca="false">COUNTIF(K6,$A$35)</f>
        <v>0</v>
      </c>
      <c r="L37" s="31" t="n">
        <f aca="false">COUNTIF(L6,$A$35)</f>
        <v>0</v>
      </c>
      <c r="M37" s="31" t="n">
        <f aca="false">COUNTIF(M6,$A$35)</f>
        <v>0</v>
      </c>
      <c r="N37" s="31" t="n">
        <f aca="false">COUNTIF(N6,$A$35)</f>
        <v>0</v>
      </c>
      <c r="O37" s="31" t="n">
        <f aca="false">COUNTIF(O6,$A$35)</f>
        <v>0</v>
      </c>
      <c r="P37" s="31" t="n">
        <f aca="false">COUNTIF(P6,$A$35)</f>
        <v>0</v>
      </c>
      <c r="Q37" s="31" t="n">
        <f aca="false">COUNTIF(Q6,$A$35)</f>
        <v>0</v>
      </c>
      <c r="R37" s="31" t="n">
        <f aca="false">COUNTIF(R6,$A$35)</f>
        <v>0</v>
      </c>
      <c r="S37" s="31" t="n">
        <f aca="false">COUNTIF(S6,$A$35)</f>
        <v>0</v>
      </c>
      <c r="T37" s="31" t="n">
        <f aca="false">COUNTIF(T6,$A$35)</f>
        <v>0</v>
      </c>
      <c r="U37" s="31" t="n">
        <f aca="false">COUNTIF(U6,$A$35)</f>
        <v>0</v>
      </c>
      <c r="V37" s="31" t="n">
        <f aca="false">COUNTIF(V6,$A$35)</f>
        <v>0</v>
      </c>
      <c r="W37" s="31" t="n">
        <f aca="false">COUNTIF(W6,$A$35)</f>
        <v>0</v>
      </c>
      <c r="X37" s="31" t="n">
        <f aca="false">COUNTIF(X6,$A$35)</f>
        <v>0</v>
      </c>
      <c r="Y37" s="31" t="n">
        <f aca="false">COUNTIF(Y6,$A$35)</f>
        <v>0</v>
      </c>
      <c r="Z37" s="31"/>
    </row>
    <row r="38" customFormat="false" ht="21" hidden="false" customHeight="true" outlineLevel="0" collapsed="false">
      <c r="A38" s="31"/>
      <c r="B38" s="31" t="n">
        <f aca="false">COUNTIF(B7,$A$35)</f>
        <v>0</v>
      </c>
      <c r="C38" s="31" t="n">
        <f aca="false">COUNTIF(C7,$A$35)</f>
        <v>0</v>
      </c>
      <c r="D38" s="31" t="n">
        <f aca="false">COUNTIF(D7,$A$35)</f>
        <v>0</v>
      </c>
      <c r="E38" s="31" t="n">
        <f aca="false">COUNTIF(E7,$A$35)</f>
        <v>0</v>
      </c>
      <c r="F38" s="31" t="n">
        <f aca="false">COUNTIF(F7,$A$35)</f>
        <v>0</v>
      </c>
      <c r="G38" s="31" t="n">
        <f aca="false">COUNTIF(G7,$A$35)</f>
        <v>0</v>
      </c>
      <c r="H38" s="31" t="n">
        <f aca="false">COUNTIF(H7,$A$35)</f>
        <v>0</v>
      </c>
      <c r="I38" s="31" t="n">
        <f aca="false">COUNTIF(I7,$A$35)</f>
        <v>0</v>
      </c>
      <c r="J38" s="31" t="n">
        <f aca="false">COUNTIF(J7,$A$35)</f>
        <v>0</v>
      </c>
      <c r="K38" s="31" t="n">
        <f aca="false">COUNTIF(K7,$A$35)</f>
        <v>0</v>
      </c>
      <c r="L38" s="31" t="n">
        <f aca="false">COUNTIF(L7,$A$35)</f>
        <v>0</v>
      </c>
      <c r="M38" s="31" t="n">
        <f aca="false">COUNTIF(M7,$A$35)</f>
        <v>0</v>
      </c>
      <c r="N38" s="31" t="n">
        <f aca="false">COUNTIF(N7,$A$35)</f>
        <v>0</v>
      </c>
      <c r="O38" s="31" t="n">
        <f aca="false">COUNTIF(O7,$A$35)</f>
        <v>0</v>
      </c>
      <c r="P38" s="31" t="n">
        <f aca="false">COUNTIF(P7,$A$35)</f>
        <v>0</v>
      </c>
      <c r="Q38" s="31" t="n">
        <f aca="false">COUNTIF(Q7,$A$35)</f>
        <v>0</v>
      </c>
      <c r="R38" s="31" t="n">
        <f aca="false">COUNTIF(R7,$A$35)</f>
        <v>0</v>
      </c>
      <c r="S38" s="31" t="n">
        <f aca="false">COUNTIF(S7,$A$35)</f>
        <v>0</v>
      </c>
      <c r="T38" s="31" t="n">
        <f aca="false">COUNTIF(T7,$A$35)</f>
        <v>0</v>
      </c>
      <c r="U38" s="31" t="n">
        <f aca="false">COUNTIF(U7,$A$35)</f>
        <v>0</v>
      </c>
      <c r="V38" s="31" t="n">
        <f aca="false">COUNTIF(V7,$A$35)</f>
        <v>0</v>
      </c>
      <c r="W38" s="31" t="n">
        <f aca="false">COUNTIF(W7,$A$35)</f>
        <v>0</v>
      </c>
      <c r="X38" s="31" t="n">
        <f aca="false">COUNTIF(X7,$A$35)</f>
        <v>0</v>
      </c>
      <c r="Y38" s="31" t="n">
        <f aca="false">COUNTIF(Y7,$A$35)</f>
        <v>0</v>
      </c>
      <c r="Z38" s="31"/>
    </row>
    <row r="39" customFormat="false" ht="21" hidden="false" customHeight="true" outlineLevel="0" collapsed="false">
      <c r="A39" s="31"/>
      <c r="B39" s="31" t="n">
        <f aca="false">COUNTIF(B8,$A$35)</f>
        <v>0</v>
      </c>
      <c r="C39" s="31" t="n">
        <f aca="false">COUNTIF(C8,$A$35)</f>
        <v>0</v>
      </c>
      <c r="D39" s="31" t="n">
        <f aca="false">COUNTIF(D8,$A$35)</f>
        <v>0</v>
      </c>
      <c r="E39" s="31" t="n">
        <f aca="false">COUNTIF(E8,$A$35)</f>
        <v>0</v>
      </c>
      <c r="F39" s="31" t="n">
        <f aca="false">COUNTIF(F8,$A$35)</f>
        <v>0</v>
      </c>
      <c r="G39" s="31" t="n">
        <f aca="false">COUNTIF(G8,$A$35)</f>
        <v>0</v>
      </c>
      <c r="H39" s="31" t="n">
        <f aca="false">COUNTIF(H8,$A$35)</f>
        <v>0</v>
      </c>
      <c r="I39" s="31" t="n">
        <f aca="false">COUNTIF(I8,$A$35)</f>
        <v>0</v>
      </c>
      <c r="J39" s="31" t="n">
        <f aca="false">COUNTIF(J8,$A$35)</f>
        <v>0</v>
      </c>
      <c r="K39" s="31" t="n">
        <f aca="false">COUNTIF(K8,$A$35)</f>
        <v>0</v>
      </c>
      <c r="L39" s="31" t="n">
        <f aca="false">COUNTIF(L8,$A$35)</f>
        <v>0</v>
      </c>
      <c r="M39" s="31" t="n">
        <f aca="false">COUNTIF(M8,$A$35)</f>
        <v>0</v>
      </c>
      <c r="N39" s="31" t="n">
        <f aca="false">COUNTIF(N8,$A$35)</f>
        <v>0</v>
      </c>
      <c r="O39" s="31" t="n">
        <f aca="false">COUNTIF(O8,$A$35)</f>
        <v>0</v>
      </c>
      <c r="P39" s="31" t="n">
        <f aca="false">COUNTIF(P8,$A$35)</f>
        <v>0</v>
      </c>
      <c r="Q39" s="31" t="n">
        <f aca="false">COUNTIF(Q8,$A$35)</f>
        <v>0</v>
      </c>
      <c r="R39" s="31" t="n">
        <f aca="false">COUNTIF(R8,$A$35)</f>
        <v>0</v>
      </c>
      <c r="S39" s="31" t="n">
        <f aca="false">COUNTIF(S8,$A$35)</f>
        <v>0</v>
      </c>
      <c r="T39" s="31" t="n">
        <f aca="false">COUNTIF(T8,$A$35)</f>
        <v>0</v>
      </c>
      <c r="U39" s="31" t="n">
        <f aca="false">COUNTIF(U8,$A$35)</f>
        <v>0</v>
      </c>
      <c r="V39" s="31" t="n">
        <f aca="false">COUNTIF(V8,$A$35)</f>
        <v>0</v>
      </c>
      <c r="W39" s="31" t="n">
        <f aca="false">COUNTIF(W8,$A$35)</f>
        <v>0</v>
      </c>
      <c r="X39" s="31" t="n">
        <f aca="false">COUNTIF(X8,$A$35)</f>
        <v>0</v>
      </c>
      <c r="Y39" s="31" t="n">
        <f aca="false">COUNTIF(Y8,$A$35)</f>
        <v>0</v>
      </c>
      <c r="Z39" s="31"/>
    </row>
    <row r="40" customFormat="false" ht="21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21" hidden="false" customHeight="true" outlineLevel="0" collapsed="false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21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21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21" hidden="false" customHeight="true" outlineLevel="0" collapsed="false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21" hidden="false" customHeight="true" outlineLevel="0" collapsed="false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21" hidden="false" customHeight="true" outlineLevel="0" collapsed="false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21" hidden="false" customHeight="true" outlineLevel="0" collapsed="false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21" hidden="false" customHeight="true" outlineLevel="0" collapsed="false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21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21" hidden="false" customHeight="tru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21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21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21" hidden="false" customHeight="true" outlineLevel="0" collapsed="false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21" hidden="false" customHeight="tru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21" hidden="false" customHeight="tru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21" hidden="false" customHeight="tru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21" hidden="false" customHeight="tru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21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21" hidden="false" customHeight="tru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21" hidden="false" customHeight="tru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21" hidden="false" customHeight="tru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21" hidden="false" customHeight="tru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21" hidden="false" customHeight="tru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21" hidden="false" customHeight="tru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21" hidden="false" customHeight="tru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21" hidden="false" customHeight="tru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21" hidden="false" customHeight="true" outlineLevel="0" collapsed="false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21" hidden="false" customHeight="true" outlineLevel="0" collapsed="false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21" hidden="false" customHeight="true" outlineLevel="0" collapsed="false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21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21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21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21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21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21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21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21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21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21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21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21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21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21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21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21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21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21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21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21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21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21" hidden="false" customHeight="tru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21" hidden="false" customHeight="tru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21" hidden="false" customHeight="tru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21" hidden="false" customHeight="tru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21" hidden="false" customHeight="tru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21" hidden="false" customHeight="tru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21" hidden="false" customHeight="tru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21" hidden="false" customHeight="tru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21" hidden="false" customHeight="tru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21" hidden="false" customHeight="tru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21" hidden="false" customHeight="tru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21" hidden="false" customHeight="tru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21" hidden="false" customHeight="tru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21" hidden="false" customHeight="tru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21" hidden="false" customHeight="tru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21" hidden="false" customHeight="tru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21" hidden="false" customHeight="tru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21" hidden="false" customHeight="tru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21" hidden="false" customHeight="tru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21" hidden="false" customHeight="tru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21" hidden="false" customHeight="tru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21" hidden="false" customHeight="tru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21" hidden="false" customHeight="tru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21" hidden="false" customHeight="tru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21" hidden="false" customHeight="tru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21" hidden="false" customHeight="tru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21" hidden="false" customHeight="tru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21" hidden="false" customHeight="tru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21" hidden="false" customHeight="tru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21" hidden="false" customHeight="tru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21" hidden="false" customHeight="tru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21" hidden="false" customHeight="tru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21" hidden="false" customHeight="tru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21" hidden="false" customHeight="tru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21" hidden="false" customHeight="tru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21" hidden="false" customHeight="tru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21" hidden="false" customHeight="tru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21" hidden="false" customHeight="tru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21" hidden="false" customHeight="tru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21" hidden="false" customHeight="tru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21" hidden="false" customHeight="tru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21" hidden="false" customHeight="tru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21" hidden="false" customHeight="tru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21" hidden="false" customHeight="tru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21" hidden="false" customHeight="tru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21" hidden="false" customHeight="tru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21" hidden="false" customHeight="tru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21" hidden="false" customHeight="tru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21" hidden="false" customHeight="tru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21" hidden="false" customHeight="tru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21" hidden="false" customHeight="tru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21" hidden="false" customHeight="tru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21" hidden="false" customHeight="tru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21" hidden="false" customHeight="tru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21" hidden="false" customHeight="tru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21" hidden="false" customHeight="tru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21" hidden="false" customHeight="tru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21" hidden="false" customHeight="tru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21" hidden="false" customHeight="tru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21" hidden="false" customHeight="tru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21" hidden="false" customHeight="tru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21" hidden="false" customHeight="tru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21" hidden="false" customHeight="tru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21" hidden="false" customHeight="tru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21" hidden="false" customHeight="tru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21" hidden="false" customHeight="tru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21" hidden="false" customHeight="tru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21" hidden="false" customHeight="tru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21" hidden="false" customHeight="tru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21" hidden="false" customHeight="tru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21" hidden="false" customHeight="tru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21" hidden="false" customHeight="tru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21" hidden="false" customHeight="tru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21" hidden="false" customHeight="tru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21" hidden="false" customHeight="tru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21" hidden="false" customHeight="tru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21" hidden="false" customHeight="tru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21" hidden="false" customHeight="tru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21" hidden="false" customHeight="tru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21" hidden="false" customHeight="tru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21" hidden="false" customHeight="tru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21" hidden="false" customHeight="tru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21" hidden="false" customHeight="tru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21" hidden="false" customHeight="tru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21" hidden="false" customHeight="tru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21" hidden="false" customHeight="tru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21" hidden="false" customHeight="tru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21" hidden="false" customHeight="tru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21" hidden="false" customHeight="tru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21" hidden="false" customHeight="tru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21" hidden="false" customHeight="tru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21" hidden="false" customHeight="tru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21" hidden="false" customHeight="tru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21" hidden="false" customHeight="tru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21" hidden="false" customHeight="tru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21" hidden="false" customHeight="tru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21" hidden="false" customHeight="tru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21" hidden="false" customHeight="tru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21" hidden="false" customHeight="tru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21" hidden="false" customHeight="tru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21" hidden="false" customHeight="tru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21" hidden="false" customHeight="tru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21" hidden="false" customHeight="tru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21" hidden="false" customHeight="tru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21" hidden="false" customHeight="tru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21" hidden="false" customHeight="tru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21" hidden="false" customHeight="tru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21" hidden="false" customHeight="tru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21" hidden="false" customHeight="tru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21" hidden="false" customHeight="tru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21" hidden="false" customHeight="tru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21" hidden="false" customHeight="tru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21" hidden="false" customHeight="tru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21" hidden="false" customHeight="tru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21" hidden="false" customHeight="tru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21" hidden="false" customHeight="tru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21" hidden="false" customHeight="tru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21" hidden="false" customHeight="tru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21" hidden="false" customHeight="tru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21" hidden="false" customHeight="tru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21" hidden="false" customHeight="tru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21" hidden="false" customHeight="tru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21" hidden="false" customHeight="tru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21" hidden="false" customHeight="tru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21" hidden="false" customHeight="tru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21" hidden="false" customHeight="tru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21" hidden="false" customHeight="tru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21" hidden="false" customHeight="tru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21" hidden="false" customHeight="tru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21" hidden="false" customHeight="tru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21" hidden="false" customHeight="tru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21" hidden="false" customHeight="tru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21" hidden="false" customHeight="tru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21" hidden="false" customHeight="tru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21" hidden="false" customHeight="tru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21" hidden="false" customHeight="tru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21" hidden="false" customHeight="tru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21" hidden="false" customHeight="tru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21" hidden="false" customHeight="tru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21" hidden="false" customHeight="tru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21" hidden="false" customHeight="tru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21" hidden="false" customHeight="tru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21" hidden="false" customHeight="tru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21" hidden="false" customHeight="tru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21" hidden="false" customHeight="tru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21" hidden="false" customHeight="tru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21" hidden="false" customHeight="tru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21" hidden="false" customHeight="tru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21" hidden="false" customHeight="tru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0:P10"/>
    <mergeCell ref="B11:P11"/>
    <mergeCell ref="B12:P12"/>
    <mergeCell ref="C13:P13"/>
    <mergeCell ref="C14:P14"/>
    <mergeCell ref="B16:I16"/>
    <mergeCell ref="K16:M16"/>
    <mergeCell ref="C17:I17"/>
    <mergeCell ref="K17:L17"/>
    <mergeCell ref="C18:I18"/>
    <mergeCell ref="K18:L18"/>
    <mergeCell ref="C19:I19"/>
    <mergeCell ref="K19:L19"/>
    <mergeCell ref="C20:I20"/>
    <mergeCell ref="K20:L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2022-01-31T21:13:50Z</dcterms:created>
  <dc:creator>Microsoft Office User</dc:creator>
  <dc:description/>
  <dc:language>en-US</dc:language>
  <cp:lastModifiedBy/>
  <cp:lastPrinted>2025-10-20T20:37:27Z</cp:lastPrinted>
  <dcterms:modified xsi:type="dcterms:W3CDTF">2025-11-03T13:32:21Z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